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Excel\"/>
    </mc:Choice>
  </mc:AlternateContent>
  <xr:revisionPtr revIDLastSave="0" documentId="13_ncr:1_{C49701D0-E566-4266-8C09-4FB031475F5A}" xr6:coauthVersionLast="47" xr6:coauthVersionMax="47" xr10:uidLastSave="{00000000-0000-0000-0000-000000000000}"/>
  <bookViews>
    <workbookView xWindow="-108" yWindow="-108" windowWidth="23256" windowHeight="13896" activeTab="6" xr2:uid="{29F95C7A-DA7E-4E9F-99B8-0D0AE9879493}"/>
  </bookViews>
  <sheets>
    <sheet name="query" sheetId="1" r:id="rId1"/>
    <sheet name="data" sheetId="6" r:id="rId2"/>
    <sheet name="Sheet3" sheetId="9" r:id="rId3"/>
    <sheet name="Pivot" sheetId="7" r:id="rId4"/>
    <sheet name="mw" sheetId="4" r:id="rId5"/>
    <sheet name="Sheet1" sheetId="3" r:id="rId6"/>
    <sheet name="1970-2000" sheetId="2" r:id="rId7"/>
  </sheets>
  <definedNames>
    <definedName name="_xlnm._FilterDatabase" localSheetId="1" hidden="1">data!$A$1:$G$268</definedName>
    <definedName name="_xlnm._FilterDatabase" localSheetId="0" hidden="1">query!$F$1:$F$268</definedName>
  </definedNames>
  <calcPr calcId="191029"/>
  <pivotCaches>
    <pivotCache cacheId="0" r:id="rId8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" i="2" l="1"/>
  <c r="J2" i="2"/>
  <c r="I2" i="2"/>
  <c r="L3" i="6"/>
  <c r="L4" i="6"/>
  <c r="L5" i="6"/>
  <c r="L6" i="6"/>
  <c r="L7" i="6"/>
  <c r="L2" i="6"/>
  <c r="K7" i="6"/>
  <c r="K8" i="6" s="1"/>
  <c r="K6" i="6"/>
  <c r="K5" i="6"/>
  <c r="K4" i="6"/>
  <c r="K3" i="6"/>
  <c r="K2" i="6"/>
  <c r="C3" i="6"/>
  <c r="C4" i="6"/>
  <c r="C5" i="6"/>
  <c r="C6" i="6"/>
  <c r="C7" i="6"/>
  <c r="C8" i="6"/>
  <c r="C9" i="6"/>
  <c r="C10" i="6"/>
  <c r="C11" i="6"/>
  <c r="C12" i="6"/>
  <c r="C13" i="6"/>
  <c r="C14" i="6"/>
  <c r="C15" i="6"/>
  <c r="C16" i="6"/>
  <c r="C17" i="6"/>
  <c r="C18" i="6"/>
  <c r="C19" i="6"/>
  <c r="C20" i="6"/>
  <c r="C21" i="6"/>
  <c r="C22" i="6"/>
  <c r="C23" i="6"/>
  <c r="C24" i="6"/>
  <c r="C25" i="6"/>
  <c r="C26" i="6"/>
  <c r="C27" i="6"/>
  <c r="C28" i="6"/>
  <c r="C29" i="6"/>
  <c r="C30" i="6"/>
  <c r="C31" i="6"/>
  <c r="C32" i="6"/>
  <c r="C33" i="6"/>
  <c r="C34" i="6"/>
  <c r="C35" i="6"/>
  <c r="C36" i="6"/>
  <c r="C37" i="6"/>
  <c r="C38" i="6"/>
  <c r="C39" i="6"/>
  <c r="C40" i="6"/>
  <c r="C41" i="6"/>
  <c r="C42" i="6"/>
  <c r="C43" i="6"/>
  <c r="C44" i="6"/>
  <c r="C45" i="6"/>
  <c r="C46" i="6"/>
  <c r="C47" i="6"/>
  <c r="C48" i="6"/>
  <c r="C49" i="6"/>
  <c r="C50" i="6"/>
  <c r="C51" i="6"/>
  <c r="C52" i="6"/>
  <c r="C53" i="6"/>
  <c r="C54" i="6"/>
  <c r="C55" i="6"/>
  <c r="C56" i="6"/>
  <c r="C57" i="6"/>
  <c r="C58" i="6"/>
  <c r="C59" i="6"/>
  <c r="C60" i="6"/>
  <c r="C61" i="6"/>
  <c r="C62" i="6"/>
  <c r="C63" i="6"/>
  <c r="C64" i="6"/>
  <c r="C65" i="6"/>
  <c r="C66" i="6"/>
  <c r="C67" i="6"/>
  <c r="C68" i="6"/>
  <c r="C69" i="6"/>
  <c r="C70" i="6"/>
  <c r="C71" i="6"/>
  <c r="C72" i="6"/>
  <c r="C73" i="6"/>
  <c r="C74" i="6"/>
  <c r="C75" i="6"/>
  <c r="C76" i="6"/>
  <c r="C77" i="6"/>
  <c r="C78" i="6"/>
  <c r="C79" i="6"/>
  <c r="C80" i="6"/>
  <c r="C81" i="6"/>
  <c r="C82" i="6"/>
  <c r="C83" i="6"/>
  <c r="C84" i="6"/>
  <c r="C85" i="6"/>
  <c r="C86" i="6"/>
  <c r="C87" i="6"/>
  <c r="C88" i="6"/>
  <c r="C89" i="6"/>
  <c r="C90" i="6"/>
  <c r="C91" i="6"/>
  <c r="C92" i="6"/>
  <c r="C93" i="6"/>
  <c r="C94" i="6"/>
  <c r="C95" i="6"/>
  <c r="C96" i="6"/>
  <c r="C97" i="6"/>
  <c r="C98" i="6"/>
  <c r="C99" i="6"/>
  <c r="C100" i="6"/>
  <c r="C101" i="6"/>
  <c r="C102" i="6"/>
  <c r="C103" i="6"/>
  <c r="C104" i="6"/>
  <c r="C105" i="6"/>
  <c r="C106" i="6"/>
  <c r="C107" i="6"/>
  <c r="C108" i="6"/>
  <c r="C109" i="6"/>
  <c r="C110" i="6"/>
  <c r="C111" i="6"/>
  <c r="C112" i="6"/>
  <c r="C113" i="6"/>
  <c r="C114" i="6"/>
  <c r="C115" i="6"/>
  <c r="C116" i="6"/>
  <c r="C117" i="6"/>
  <c r="C118" i="6"/>
  <c r="C119" i="6"/>
  <c r="C120" i="6"/>
  <c r="C121" i="6"/>
  <c r="C122" i="6"/>
  <c r="C123" i="6"/>
  <c r="C124" i="6"/>
  <c r="C125" i="6"/>
  <c r="C126" i="6"/>
  <c r="C127" i="6"/>
  <c r="C128" i="6"/>
  <c r="C129" i="6"/>
  <c r="C130" i="6"/>
  <c r="C131" i="6"/>
  <c r="C132" i="6"/>
  <c r="C133" i="6"/>
  <c r="C134" i="6"/>
  <c r="C135" i="6"/>
  <c r="C136" i="6"/>
  <c r="C137" i="6"/>
  <c r="C138" i="6"/>
  <c r="C139" i="6"/>
  <c r="C140" i="6"/>
  <c r="C141" i="6"/>
  <c r="C142" i="6"/>
  <c r="C143" i="6"/>
  <c r="C144" i="6"/>
  <c r="C145" i="6"/>
  <c r="C146" i="6"/>
  <c r="C147" i="6"/>
  <c r="C148" i="6"/>
  <c r="C149" i="6"/>
  <c r="C150" i="6"/>
  <c r="C151" i="6"/>
  <c r="C152" i="6"/>
  <c r="C153" i="6"/>
  <c r="C154" i="6"/>
  <c r="C155" i="6"/>
  <c r="C156" i="6"/>
  <c r="C157" i="6"/>
  <c r="C158" i="6"/>
  <c r="C159" i="6"/>
  <c r="C160" i="6"/>
  <c r="C161" i="6"/>
  <c r="C162" i="6"/>
  <c r="C163" i="6"/>
  <c r="C164" i="6"/>
  <c r="C165" i="6"/>
  <c r="C166" i="6"/>
  <c r="C167" i="6"/>
  <c r="C168" i="6"/>
  <c r="C169" i="6"/>
  <c r="C170" i="6"/>
  <c r="C171" i="6"/>
  <c r="C172" i="6"/>
  <c r="C173" i="6"/>
  <c r="C174" i="6"/>
  <c r="C175" i="6"/>
  <c r="C176" i="6"/>
  <c r="C177" i="6"/>
  <c r="C178" i="6"/>
  <c r="C179" i="6"/>
  <c r="C180" i="6"/>
  <c r="C181" i="6"/>
  <c r="C182" i="6"/>
  <c r="C183" i="6"/>
  <c r="C184" i="6"/>
  <c r="C185" i="6"/>
  <c r="C186" i="6"/>
  <c r="C187" i="6"/>
  <c r="C188" i="6"/>
  <c r="C189" i="6"/>
  <c r="C190" i="6"/>
  <c r="C191" i="6"/>
  <c r="C192" i="6"/>
  <c r="C193" i="6"/>
  <c r="C194" i="6"/>
  <c r="C195" i="6"/>
  <c r="C196" i="6"/>
  <c r="C197" i="6"/>
  <c r="C198" i="6"/>
  <c r="C199" i="6"/>
  <c r="C200" i="6"/>
  <c r="C201" i="6"/>
  <c r="C202" i="6"/>
  <c r="C203" i="6"/>
  <c r="C204" i="6"/>
  <c r="C205" i="6"/>
  <c r="C206" i="6"/>
  <c r="C207" i="6"/>
  <c r="C208" i="6"/>
  <c r="C209" i="6"/>
  <c r="C210" i="6"/>
  <c r="C211" i="6"/>
  <c r="C212" i="6"/>
  <c r="C213" i="6"/>
  <c r="C214" i="6"/>
  <c r="C215" i="6"/>
  <c r="C216" i="6"/>
  <c r="C217" i="6"/>
  <c r="C218" i="6"/>
  <c r="C219" i="6"/>
  <c r="C220" i="6"/>
  <c r="C221" i="6"/>
  <c r="C222" i="6"/>
  <c r="C223" i="6"/>
  <c r="C224" i="6"/>
  <c r="C225" i="6"/>
  <c r="C226" i="6"/>
  <c r="C227" i="6"/>
  <c r="C228" i="6"/>
  <c r="C229" i="6"/>
  <c r="C230" i="6"/>
  <c r="C231" i="6"/>
  <c r="C232" i="6"/>
  <c r="C233" i="6"/>
  <c r="C234" i="6"/>
  <c r="C235" i="6"/>
  <c r="C236" i="6"/>
  <c r="C237" i="6"/>
  <c r="C238" i="6"/>
  <c r="C239" i="6"/>
  <c r="C240" i="6"/>
  <c r="C241" i="6"/>
  <c r="C242" i="6"/>
  <c r="C243" i="6"/>
  <c r="C244" i="6"/>
  <c r="C245" i="6"/>
  <c r="C246" i="6"/>
  <c r="C247" i="6"/>
  <c r="C248" i="6"/>
  <c r="C249" i="6"/>
  <c r="C250" i="6"/>
  <c r="C251" i="6"/>
  <c r="C252" i="6"/>
  <c r="C253" i="6"/>
  <c r="C254" i="6"/>
  <c r="C255" i="6"/>
  <c r="C256" i="6"/>
  <c r="C257" i="6"/>
  <c r="C258" i="6"/>
  <c r="C259" i="6"/>
  <c r="C260" i="6"/>
  <c r="C261" i="6"/>
  <c r="C262" i="6"/>
  <c r="C263" i="6"/>
  <c r="C264" i="6"/>
  <c r="C265" i="6"/>
  <c r="C266" i="6"/>
  <c r="C267" i="6"/>
  <c r="C268" i="6"/>
  <c r="C2" i="6"/>
  <c r="B3" i="6"/>
  <c r="B4" i="6"/>
  <c r="B5" i="6"/>
  <c r="B6" i="6"/>
  <c r="B7" i="6"/>
  <c r="B8" i="6"/>
  <c r="B9" i="6"/>
  <c r="B10" i="6"/>
  <c r="B11" i="6"/>
  <c r="B12" i="6"/>
  <c r="B13" i="6"/>
  <c r="B14" i="6"/>
  <c r="B15" i="6"/>
  <c r="B16" i="6"/>
  <c r="B17" i="6"/>
  <c r="B18" i="6"/>
  <c r="B19" i="6"/>
  <c r="B20" i="6"/>
  <c r="B21" i="6"/>
  <c r="B22" i="6"/>
  <c r="B23" i="6"/>
  <c r="B24" i="6"/>
  <c r="B25" i="6"/>
  <c r="B26" i="6"/>
  <c r="B27" i="6"/>
  <c r="B28" i="6"/>
  <c r="B29" i="6"/>
  <c r="B30" i="6"/>
  <c r="B31" i="6"/>
  <c r="B32" i="6"/>
  <c r="B33" i="6"/>
  <c r="B34" i="6"/>
  <c r="B35" i="6"/>
  <c r="B36" i="6"/>
  <c r="B37" i="6"/>
  <c r="B38" i="6"/>
  <c r="B39" i="6"/>
  <c r="B40" i="6"/>
  <c r="B41" i="6"/>
  <c r="B42" i="6"/>
  <c r="B43" i="6"/>
  <c r="B44" i="6"/>
  <c r="B45" i="6"/>
  <c r="B46" i="6"/>
  <c r="B47" i="6"/>
  <c r="B48" i="6"/>
  <c r="B49" i="6"/>
  <c r="B50" i="6"/>
  <c r="B51" i="6"/>
  <c r="B52" i="6"/>
  <c r="B53" i="6"/>
  <c r="B54" i="6"/>
  <c r="B55" i="6"/>
  <c r="B56" i="6"/>
  <c r="B57" i="6"/>
  <c r="B58" i="6"/>
  <c r="B59" i="6"/>
  <c r="B60" i="6"/>
  <c r="B61" i="6"/>
  <c r="B62" i="6"/>
  <c r="B63" i="6"/>
  <c r="B64" i="6"/>
  <c r="B65" i="6"/>
  <c r="B66" i="6"/>
  <c r="B67" i="6"/>
  <c r="B68" i="6"/>
  <c r="B69" i="6"/>
  <c r="B70" i="6"/>
  <c r="B71" i="6"/>
  <c r="B72" i="6"/>
  <c r="B73" i="6"/>
  <c r="B74" i="6"/>
  <c r="B75" i="6"/>
  <c r="B76" i="6"/>
  <c r="B77" i="6"/>
  <c r="B78" i="6"/>
  <c r="B79" i="6"/>
  <c r="B80" i="6"/>
  <c r="B81" i="6"/>
  <c r="B82" i="6"/>
  <c r="B83" i="6"/>
  <c r="B84" i="6"/>
  <c r="B85" i="6"/>
  <c r="B86" i="6"/>
  <c r="B87" i="6"/>
  <c r="B88" i="6"/>
  <c r="B89" i="6"/>
  <c r="B90" i="6"/>
  <c r="B91" i="6"/>
  <c r="B92" i="6"/>
  <c r="B93" i="6"/>
  <c r="B94" i="6"/>
  <c r="B95" i="6"/>
  <c r="B96" i="6"/>
  <c r="B97" i="6"/>
  <c r="B98" i="6"/>
  <c r="B99" i="6"/>
  <c r="B100" i="6"/>
  <c r="B101" i="6"/>
  <c r="B102" i="6"/>
  <c r="B103" i="6"/>
  <c r="B104" i="6"/>
  <c r="B105" i="6"/>
  <c r="B106" i="6"/>
  <c r="B107" i="6"/>
  <c r="B108" i="6"/>
  <c r="B109" i="6"/>
  <c r="B110" i="6"/>
  <c r="B111" i="6"/>
  <c r="B112" i="6"/>
  <c r="B113" i="6"/>
  <c r="B114" i="6"/>
  <c r="B115" i="6"/>
  <c r="B116" i="6"/>
  <c r="B117" i="6"/>
  <c r="B118" i="6"/>
  <c r="B119" i="6"/>
  <c r="B120" i="6"/>
  <c r="B121" i="6"/>
  <c r="B122" i="6"/>
  <c r="B123" i="6"/>
  <c r="B124" i="6"/>
  <c r="B125" i="6"/>
  <c r="B126" i="6"/>
  <c r="B127" i="6"/>
  <c r="B128" i="6"/>
  <c r="B129" i="6"/>
  <c r="B130" i="6"/>
  <c r="B131" i="6"/>
  <c r="B132" i="6"/>
  <c r="B133" i="6"/>
  <c r="B134" i="6"/>
  <c r="B135" i="6"/>
  <c r="B136" i="6"/>
  <c r="B137" i="6"/>
  <c r="B138" i="6"/>
  <c r="B139" i="6"/>
  <c r="B140" i="6"/>
  <c r="B141" i="6"/>
  <c r="B142" i="6"/>
  <c r="B143" i="6"/>
  <c r="B144" i="6"/>
  <c r="B145" i="6"/>
  <c r="B146" i="6"/>
  <c r="B147" i="6"/>
  <c r="B148" i="6"/>
  <c r="B149" i="6"/>
  <c r="B150" i="6"/>
  <c r="B151" i="6"/>
  <c r="B152" i="6"/>
  <c r="B153" i="6"/>
  <c r="B154" i="6"/>
  <c r="B155" i="6"/>
  <c r="B156" i="6"/>
  <c r="B157" i="6"/>
  <c r="B158" i="6"/>
  <c r="B159" i="6"/>
  <c r="B160" i="6"/>
  <c r="B161" i="6"/>
  <c r="B162" i="6"/>
  <c r="B163" i="6"/>
  <c r="B164" i="6"/>
  <c r="B165" i="6"/>
  <c r="B166" i="6"/>
  <c r="B167" i="6"/>
  <c r="B168" i="6"/>
  <c r="B169" i="6"/>
  <c r="B170" i="6"/>
  <c r="B171" i="6"/>
  <c r="B172" i="6"/>
  <c r="B173" i="6"/>
  <c r="B174" i="6"/>
  <c r="B175" i="6"/>
  <c r="B176" i="6"/>
  <c r="B177" i="6"/>
  <c r="B178" i="6"/>
  <c r="B179" i="6"/>
  <c r="B180" i="6"/>
  <c r="B181" i="6"/>
  <c r="B182" i="6"/>
  <c r="B183" i="6"/>
  <c r="B184" i="6"/>
  <c r="B185" i="6"/>
  <c r="B186" i="6"/>
  <c r="B187" i="6"/>
  <c r="B188" i="6"/>
  <c r="B189" i="6"/>
  <c r="B190" i="6"/>
  <c r="B191" i="6"/>
  <c r="B192" i="6"/>
  <c r="B193" i="6"/>
  <c r="B194" i="6"/>
  <c r="B195" i="6"/>
  <c r="B196" i="6"/>
  <c r="B197" i="6"/>
  <c r="B198" i="6"/>
  <c r="B199" i="6"/>
  <c r="B200" i="6"/>
  <c r="B201" i="6"/>
  <c r="B202" i="6"/>
  <c r="B203" i="6"/>
  <c r="B204" i="6"/>
  <c r="B205" i="6"/>
  <c r="B206" i="6"/>
  <c r="B207" i="6"/>
  <c r="B208" i="6"/>
  <c r="B209" i="6"/>
  <c r="B210" i="6"/>
  <c r="B211" i="6"/>
  <c r="B212" i="6"/>
  <c r="B213" i="6"/>
  <c r="B214" i="6"/>
  <c r="B215" i="6"/>
  <c r="B216" i="6"/>
  <c r="B217" i="6"/>
  <c r="B218" i="6"/>
  <c r="B219" i="6"/>
  <c r="B220" i="6"/>
  <c r="B221" i="6"/>
  <c r="B222" i="6"/>
  <c r="B223" i="6"/>
  <c r="B224" i="6"/>
  <c r="B225" i="6"/>
  <c r="B226" i="6"/>
  <c r="B227" i="6"/>
  <c r="B228" i="6"/>
  <c r="B229" i="6"/>
  <c r="B230" i="6"/>
  <c r="B231" i="6"/>
  <c r="B232" i="6"/>
  <c r="B233" i="6"/>
  <c r="B234" i="6"/>
  <c r="B235" i="6"/>
  <c r="B236" i="6"/>
  <c r="B237" i="6"/>
  <c r="B238" i="6"/>
  <c r="B239" i="6"/>
  <c r="B240" i="6"/>
  <c r="B241" i="6"/>
  <c r="B242" i="6"/>
  <c r="B243" i="6"/>
  <c r="B244" i="6"/>
  <c r="B245" i="6"/>
  <c r="B246" i="6"/>
  <c r="B247" i="6"/>
  <c r="B248" i="6"/>
  <c r="B249" i="6"/>
  <c r="B250" i="6"/>
  <c r="B251" i="6"/>
  <c r="B252" i="6"/>
  <c r="B253" i="6"/>
  <c r="B254" i="6"/>
  <c r="B255" i="6"/>
  <c r="B256" i="6"/>
  <c r="B257" i="6"/>
  <c r="B258" i="6"/>
  <c r="B259" i="6"/>
  <c r="B260" i="6"/>
  <c r="B261" i="6"/>
  <c r="B262" i="6"/>
  <c r="B263" i="6"/>
  <c r="B264" i="6"/>
  <c r="B265" i="6"/>
  <c r="B266" i="6"/>
  <c r="B267" i="6"/>
  <c r="B268" i="6"/>
  <c r="B2" i="6"/>
  <c r="K3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K73" i="2"/>
  <c r="K74" i="2"/>
  <c r="K75" i="2"/>
  <c r="K76" i="2"/>
  <c r="K77" i="2"/>
  <c r="K78" i="2"/>
  <c r="K79" i="2"/>
  <c r="K80" i="2"/>
  <c r="K81" i="2"/>
  <c r="K82" i="2"/>
  <c r="K83" i="2"/>
  <c r="K84" i="2"/>
  <c r="K85" i="2"/>
  <c r="K86" i="2"/>
  <c r="K87" i="2"/>
  <c r="K88" i="2"/>
  <c r="K89" i="2"/>
  <c r="K90" i="2"/>
  <c r="K91" i="2"/>
  <c r="K92" i="2"/>
  <c r="K93" i="2"/>
  <c r="K94" i="2"/>
  <c r="K95" i="2"/>
  <c r="K96" i="2"/>
  <c r="K97" i="2"/>
  <c r="K98" i="2"/>
  <c r="K99" i="2"/>
  <c r="K100" i="2"/>
  <c r="K101" i="2"/>
  <c r="K102" i="2"/>
  <c r="K103" i="2"/>
  <c r="K104" i="2"/>
  <c r="K105" i="2"/>
  <c r="K106" i="2"/>
  <c r="K107" i="2"/>
  <c r="K108" i="2"/>
  <c r="K109" i="2"/>
  <c r="K110" i="2"/>
  <c r="K111" i="2"/>
  <c r="K112" i="2"/>
  <c r="K113" i="2"/>
  <c r="K114" i="2"/>
  <c r="K115" i="2"/>
  <c r="K116" i="2"/>
  <c r="K117" i="2"/>
  <c r="K118" i="2"/>
  <c r="K119" i="2"/>
  <c r="K120" i="2"/>
  <c r="K121" i="2"/>
  <c r="K122" i="2"/>
  <c r="K123" i="2"/>
  <c r="K124" i="2"/>
  <c r="K125" i="2"/>
  <c r="K126" i="2"/>
  <c r="K127" i="2"/>
  <c r="K128" i="2"/>
  <c r="K129" i="2"/>
  <c r="K130" i="2"/>
  <c r="K131" i="2"/>
  <c r="K132" i="2"/>
  <c r="K133" i="2"/>
  <c r="K134" i="2"/>
  <c r="K135" i="2"/>
  <c r="K136" i="2"/>
  <c r="K137" i="2"/>
  <c r="K138" i="2"/>
  <c r="K139" i="2"/>
  <c r="K140" i="2"/>
  <c r="K141" i="2"/>
  <c r="K142" i="2"/>
  <c r="K143" i="2"/>
  <c r="K144" i="2"/>
  <c r="K145" i="2"/>
  <c r="K146" i="2"/>
  <c r="K147" i="2"/>
  <c r="K148" i="2"/>
  <c r="K149" i="2"/>
  <c r="K150" i="2"/>
  <c r="K151" i="2"/>
  <c r="K152" i="2"/>
  <c r="K153" i="2"/>
  <c r="K154" i="2"/>
  <c r="K155" i="2"/>
  <c r="K156" i="2"/>
  <c r="K157" i="2"/>
  <c r="K158" i="2"/>
  <c r="K159" i="2"/>
  <c r="K160" i="2"/>
  <c r="K161" i="2"/>
  <c r="K162" i="2"/>
  <c r="K163" i="2"/>
  <c r="K164" i="2"/>
  <c r="K165" i="2"/>
  <c r="K166" i="2"/>
  <c r="K167" i="2"/>
  <c r="K168" i="2"/>
  <c r="K169" i="2"/>
  <c r="K170" i="2"/>
  <c r="K171" i="2"/>
  <c r="K172" i="2"/>
  <c r="K173" i="2"/>
  <c r="K174" i="2"/>
  <c r="K175" i="2"/>
  <c r="K176" i="2"/>
  <c r="K177" i="2"/>
  <c r="K178" i="2"/>
  <c r="K179" i="2"/>
  <c r="K180" i="2"/>
  <c r="K181" i="2"/>
  <c r="K182" i="2"/>
  <c r="K183" i="2"/>
  <c r="K184" i="2"/>
  <c r="K185" i="2"/>
  <c r="K186" i="2"/>
  <c r="K187" i="2"/>
  <c r="K188" i="2"/>
  <c r="K189" i="2"/>
  <c r="K190" i="2"/>
  <c r="K191" i="2"/>
  <c r="K192" i="2"/>
  <c r="K193" i="2"/>
  <c r="K194" i="2"/>
  <c r="K195" i="2"/>
  <c r="K196" i="2"/>
  <c r="K197" i="2"/>
  <c r="K198" i="2"/>
  <c r="K199" i="2"/>
  <c r="K200" i="2"/>
  <c r="K201" i="2"/>
  <c r="K202" i="2"/>
  <c r="K203" i="2"/>
  <c r="K204" i="2"/>
  <c r="K205" i="2"/>
  <c r="K206" i="2"/>
  <c r="K207" i="2"/>
  <c r="K208" i="2"/>
  <c r="K209" i="2"/>
  <c r="K210" i="2"/>
  <c r="K211" i="2"/>
  <c r="K212" i="2"/>
  <c r="K213" i="2"/>
  <c r="K214" i="2"/>
  <c r="K215" i="2"/>
  <c r="K216" i="2"/>
  <c r="K217" i="2"/>
  <c r="K218" i="2"/>
  <c r="K219" i="2"/>
  <c r="K220" i="2"/>
  <c r="K221" i="2"/>
  <c r="K222" i="2"/>
  <c r="K223" i="2"/>
  <c r="K224" i="2"/>
  <c r="K225" i="2"/>
  <c r="K226" i="2"/>
  <c r="K227" i="2"/>
  <c r="K228" i="2"/>
  <c r="K229" i="2"/>
  <c r="K230" i="2"/>
  <c r="K231" i="2"/>
  <c r="K232" i="2"/>
  <c r="K233" i="2"/>
  <c r="K234" i="2"/>
  <c r="K235" i="2"/>
  <c r="K236" i="2"/>
  <c r="K237" i="2"/>
  <c r="K238" i="2"/>
  <c r="K239" i="2"/>
  <c r="K240" i="2"/>
  <c r="K241" i="2"/>
  <c r="K242" i="2"/>
  <c r="K243" i="2"/>
  <c r="K244" i="2"/>
  <c r="K245" i="2"/>
  <c r="K246" i="2"/>
  <c r="K247" i="2"/>
  <c r="K248" i="2"/>
  <c r="K249" i="2"/>
  <c r="K250" i="2"/>
  <c r="K251" i="2"/>
  <c r="K252" i="2"/>
  <c r="K253" i="2"/>
  <c r="K254" i="2"/>
  <c r="K255" i="2"/>
  <c r="K256" i="2"/>
  <c r="K257" i="2"/>
  <c r="K258" i="2"/>
  <c r="K259" i="2"/>
  <c r="K260" i="2"/>
  <c r="K261" i="2"/>
  <c r="K262" i="2"/>
  <c r="K263" i="2"/>
  <c r="K264" i="2"/>
  <c r="K265" i="2"/>
  <c r="K266" i="2"/>
  <c r="K267" i="2"/>
  <c r="K268" i="2"/>
  <c r="J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J69" i="2"/>
  <c r="J70" i="2"/>
  <c r="J71" i="2"/>
  <c r="J72" i="2"/>
  <c r="J73" i="2"/>
  <c r="J74" i="2"/>
  <c r="J75" i="2"/>
  <c r="J76" i="2"/>
  <c r="J77" i="2"/>
  <c r="J78" i="2"/>
  <c r="J79" i="2"/>
  <c r="J80" i="2"/>
  <c r="J81" i="2"/>
  <c r="J82" i="2"/>
  <c r="J83" i="2"/>
  <c r="J84" i="2"/>
  <c r="J85" i="2"/>
  <c r="J86" i="2"/>
  <c r="J87" i="2"/>
  <c r="J88" i="2"/>
  <c r="J89" i="2"/>
  <c r="J90" i="2"/>
  <c r="J91" i="2"/>
  <c r="J92" i="2"/>
  <c r="J93" i="2"/>
  <c r="J94" i="2"/>
  <c r="J95" i="2"/>
  <c r="J96" i="2"/>
  <c r="J97" i="2"/>
  <c r="J98" i="2"/>
  <c r="J99" i="2"/>
  <c r="J100" i="2"/>
  <c r="J101" i="2"/>
  <c r="J102" i="2"/>
  <c r="J103" i="2"/>
  <c r="J104" i="2"/>
  <c r="J105" i="2"/>
  <c r="J106" i="2"/>
  <c r="J107" i="2"/>
  <c r="J108" i="2"/>
  <c r="J109" i="2"/>
  <c r="J110" i="2"/>
  <c r="J111" i="2"/>
  <c r="J112" i="2"/>
  <c r="J113" i="2"/>
  <c r="J114" i="2"/>
  <c r="J115" i="2"/>
  <c r="J116" i="2"/>
  <c r="J117" i="2"/>
  <c r="J118" i="2"/>
  <c r="J119" i="2"/>
  <c r="J120" i="2"/>
  <c r="J121" i="2"/>
  <c r="J122" i="2"/>
  <c r="J123" i="2"/>
  <c r="J124" i="2"/>
  <c r="J125" i="2"/>
  <c r="J126" i="2"/>
  <c r="J127" i="2"/>
  <c r="J128" i="2"/>
  <c r="J129" i="2"/>
  <c r="J130" i="2"/>
  <c r="J131" i="2"/>
  <c r="J132" i="2"/>
  <c r="J133" i="2"/>
  <c r="J134" i="2"/>
  <c r="J135" i="2"/>
  <c r="J136" i="2"/>
  <c r="J137" i="2"/>
  <c r="J138" i="2"/>
  <c r="J139" i="2"/>
  <c r="J140" i="2"/>
  <c r="J141" i="2"/>
  <c r="J142" i="2"/>
  <c r="J143" i="2"/>
  <c r="J144" i="2"/>
  <c r="J145" i="2"/>
  <c r="J146" i="2"/>
  <c r="J147" i="2"/>
  <c r="J148" i="2"/>
  <c r="J149" i="2"/>
  <c r="J150" i="2"/>
  <c r="J151" i="2"/>
  <c r="J152" i="2"/>
  <c r="J153" i="2"/>
  <c r="J154" i="2"/>
  <c r="J155" i="2"/>
  <c r="J156" i="2"/>
  <c r="J157" i="2"/>
  <c r="J158" i="2"/>
  <c r="J159" i="2"/>
  <c r="J160" i="2"/>
  <c r="J161" i="2"/>
  <c r="J162" i="2"/>
  <c r="J163" i="2"/>
  <c r="J164" i="2"/>
  <c r="J165" i="2"/>
  <c r="J166" i="2"/>
  <c r="J167" i="2"/>
  <c r="J168" i="2"/>
  <c r="J169" i="2"/>
  <c r="J170" i="2"/>
  <c r="J171" i="2"/>
  <c r="J172" i="2"/>
  <c r="J173" i="2"/>
  <c r="J174" i="2"/>
  <c r="J175" i="2"/>
  <c r="J176" i="2"/>
  <c r="J177" i="2"/>
  <c r="J178" i="2"/>
  <c r="J179" i="2"/>
  <c r="J180" i="2"/>
  <c r="J181" i="2"/>
  <c r="J182" i="2"/>
  <c r="J183" i="2"/>
  <c r="J184" i="2"/>
  <c r="J185" i="2"/>
  <c r="J186" i="2"/>
  <c r="J187" i="2"/>
  <c r="J188" i="2"/>
  <c r="J189" i="2"/>
  <c r="J190" i="2"/>
  <c r="J191" i="2"/>
  <c r="J192" i="2"/>
  <c r="J193" i="2"/>
  <c r="J194" i="2"/>
  <c r="J195" i="2"/>
  <c r="J196" i="2"/>
  <c r="J197" i="2"/>
  <c r="J198" i="2"/>
  <c r="J199" i="2"/>
  <c r="J200" i="2"/>
  <c r="J201" i="2"/>
  <c r="J202" i="2"/>
  <c r="J203" i="2"/>
  <c r="J204" i="2"/>
  <c r="J205" i="2"/>
  <c r="J206" i="2"/>
  <c r="J207" i="2"/>
  <c r="J208" i="2"/>
  <c r="J209" i="2"/>
  <c r="J210" i="2"/>
  <c r="J211" i="2"/>
  <c r="J212" i="2"/>
  <c r="J213" i="2"/>
  <c r="J214" i="2"/>
  <c r="J215" i="2"/>
  <c r="J216" i="2"/>
  <c r="J217" i="2"/>
  <c r="J218" i="2"/>
  <c r="J219" i="2"/>
  <c r="J220" i="2"/>
  <c r="J221" i="2"/>
  <c r="J222" i="2"/>
  <c r="J223" i="2"/>
  <c r="J224" i="2"/>
  <c r="J225" i="2"/>
  <c r="J226" i="2"/>
  <c r="J227" i="2"/>
  <c r="J228" i="2"/>
  <c r="J229" i="2"/>
  <c r="J230" i="2"/>
  <c r="J231" i="2"/>
  <c r="J232" i="2"/>
  <c r="J233" i="2"/>
  <c r="J234" i="2"/>
  <c r="J235" i="2"/>
  <c r="J236" i="2"/>
  <c r="J237" i="2"/>
  <c r="J238" i="2"/>
  <c r="J239" i="2"/>
  <c r="J240" i="2"/>
  <c r="J241" i="2"/>
  <c r="J242" i="2"/>
  <c r="J243" i="2"/>
  <c r="J244" i="2"/>
  <c r="J245" i="2"/>
  <c r="J246" i="2"/>
  <c r="J247" i="2"/>
  <c r="J248" i="2"/>
  <c r="J249" i="2"/>
  <c r="J250" i="2"/>
  <c r="J251" i="2"/>
  <c r="J252" i="2"/>
  <c r="J253" i="2"/>
  <c r="J254" i="2"/>
  <c r="J255" i="2"/>
  <c r="J256" i="2"/>
  <c r="J257" i="2"/>
  <c r="J258" i="2"/>
  <c r="J259" i="2"/>
  <c r="J260" i="2"/>
  <c r="J261" i="2"/>
  <c r="J262" i="2"/>
  <c r="J263" i="2"/>
  <c r="J264" i="2"/>
  <c r="J265" i="2"/>
  <c r="J266" i="2"/>
  <c r="J267" i="2"/>
  <c r="J268" i="2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159" i="2"/>
  <c r="I160" i="2"/>
  <c r="I161" i="2"/>
  <c r="I162" i="2"/>
  <c r="I163" i="2"/>
  <c r="I164" i="2"/>
  <c r="I165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4" i="2"/>
  <c r="I185" i="2"/>
  <c r="I186" i="2"/>
  <c r="I187" i="2"/>
  <c r="I188" i="2"/>
  <c r="I189" i="2"/>
  <c r="I190" i="2"/>
  <c r="I191" i="2"/>
  <c r="I192" i="2"/>
  <c r="I193" i="2"/>
  <c r="I194" i="2"/>
  <c r="I195" i="2"/>
  <c r="I196" i="2"/>
  <c r="I197" i="2"/>
  <c r="I198" i="2"/>
  <c r="I199" i="2"/>
  <c r="I200" i="2"/>
  <c r="I201" i="2"/>
  <c r="I202" i="2"/>
  <c r="I203" i="2"/>
  <c r="I204" i="2"/>
  <c r="I205" i="2"/>
  <c r="I206" i="2"/>
  <c r="I207" i="2"/>
  <c r="I208" i="2"/>
  <c r="I209" i="2"/>
  <c r="I210" i="2"/>
  <c r="I211" i="2"/>
  <c r="I212" i="2"/>
  <c r="I213" i="2"/>
  <c r="I214" i="2"/>
  <c r="I215" i="2"/>
  <c r="I216" i="2"/>
  <c r="I217" i="2"/>
  <c r="I218" i="2"/>
  <c r="I219" i="2"/>
  <c r="I220" i="2"/>
  <c r="I221" i="2"/>
  <c r="I222" i="2"/>
  <c r="I223" i="2"/>
  <c r="I224" i="2"/>
  <c r="I225" i="2"/>
  <c r="I226" i="2"/>
  <c r="I227" i="2"/>
  <c r="I228" i="2"/>
  <c r="I229" i="2"/>
  <c r="I230" i="2"/>
  <c r="I231" i="2"/>
  <c r="I232" i="2"/>
  <c r="I233" i="2"/>
  <c r="I234" i="2"/>
  <c r="I235" i="2"/>
  <c r="I236" i="2"/>
  <c r="I237" i="2"/>
  <c r="I238" i="2"/>
  <c r="I239" i="2"/>
  <c r="I240" i="2"/>
  <c r="I241" i="2"/>
  <c r="I242" i="2"/>
  <c r="I243" i="2"/>
  <c r="I244" i="2"/>
  <c r="I245" i="2"/>
  <c r="I246" i="2"/>
  <c r="I247" i="2"/>
  <c r="I248" i="2"/>
  <c r="I249" i="2"/>
  <c r="I250" i="2"/>
  <c r="I251" i="2"/>
  <c r="I252" i="2"/>
  <c r="I253" i="2"/>
  <c r="I254" i="2"/>
  <c r="I255" i="2"/>
  <c r="I256" i="2"/>
  <c r="I257" i="2"/>
  <c r="I258" i="2"/>
  <c r="I259" i="2"/>
  <c r="I260" i="2"/>
  <c r="I261" i="2"/>
  <c r="I262" i="2"/>
  <c r="I263" i="2"/>
  <c r="I264" i="2"/>
  <c r="I265" i="2"/>
  <c r="I266" i="2"/>
  <c r="I267" i="2"/>
  <c r="I268" i="2"/>
</calcChain>
</file>

<file path=xl/sharedStrings.xml><?xml version="1.0" encoding="utf-8"?>
<sst xmlns="http://schemas.openxmlformats.org/spreadsheetml/2006/main" count="7586" uniqueCount="2819">
  <si>
    <t>time</t>
  </si>
  <si>
    <t>latitude</t>
  </si>
  <si>
    <t>longitude</t>
  </si>
  <si>
    <t>depth</t>
  </si>
  <si>
    <t>mag</t>
  </si>
  <si>
    <t>magType</t>
  </si>
  <si>
    <t>nst</t>
  </si>
  <si>
    <t>gap</t>
  </si>
  <si>
    <t>dmin</t>
  </si>
  <si>
    <t>rms</t>
  </si>
  <si>
    <t>net</t>
  </si>
  <si>
    <t>id</t>
  </si>
  <si>
    <t>updated</t>
  </si>
  <si>
    <t>place</t>
  </si>
  <si>
    <t>type</t>
  </si>
  <si>
    <t>horizontalError</t>
  </si>
  <si>
    <t>depthError</t>
  </si>
  <si>
    <t>magError</t>
  </si>
  <si>
    <t>magNst</t>
  </si>
  <si>
    <t>status</t>
  </si>
  <si>
    <t>locationSource</t>
  </si>
  <si>
    <t>magSource</t>
  </si>
  <si>
    <t>1973-06-14T11:02:46.900Z</t>
  </si>
  <si>
    <t>mb</t>
  </si>
  <si>
    <t>us</t>
  </si>
  <si>
    <t>usp000025p</t>
  </si>
  <si>
    <t>2025-12-19T19:37:14.421Z</t>
  </si>
  <si>
    <t>144 km NNE of Labuan Bajo, Indonesia</t>
  </si>
  <si>
    <t>earthquake</t>
  </si>
  <si>
    <t>reviewed</t>
  </si>
  <si>
    <t>1973-07-16T13:08:27.100Z</t>
  </si>
  <si>
    <t>usp00002r3</t>
  </si>
  <si>
    <t>2014-11-06T23:21:14.848Z</t>
  </si>
  <si>
    <t>128 km N of Maumere, Indonesia</t>
  </si>
  <si>
    <t>1973-11-04T12:02:09.100Z</t>
  </si>
  <si>
    <t>usp000041k</t>
  </si>
  <si>
    <t>2022-04-27T18:34:38.477Z</t>
  </si>
  <si>
    <t>Banda Sea</t>
  </si>
  <si>
    <t>1974-01-23T03:19:49.700Z</t>
  </si>
  <si>
    <t>usp000050b</t>
  </si>
  <si>
    <t>2014-11-06T23:21:22.505Z</t>
  </si>
  <si>
    <t>181 km NNW of Maubara, Timor Leste</t>
  </si>
  <si>
    <t>1974-02-01T17:08:23.400Z</t>
  </si>
  <si>
    <t>usp000054m</t>
  </si>
  <si>
    <t>2014-11-06T23:21:22.659Z</t>
  </si>
  <si>
    <t>133 km NNE of Labuan Bajo, Indonesia</t>
  </si>
  <si>
    <t>1974-09-04T20:22:23.000Z</t>
  </si>
  <si>
    <t>usp00007xe</t>
  </si>
  <si>
    <t>2014-11-06T23:21:26.154Z</t>
  </si>
  <si>
    <t>143 km NNE of Labuan Bajo, Indonesia</t>
  </si>
  <si>
    <t>1974-10-05T08:09:24.600Z</t>
  </si>
  <si>
    <t>usp000089j</t>
  </si>
  <si>
    <t>2014-11-06T23:21:26.693Z</t>
  </si>
  <si>
    <t>144 km N of Ruteng, Indonesia</t>
  </si>
  <si>
    <t>1975-01-04T04:42:51.800Z</t>
  </si>
  <si>
    <t>usp00009d0</t>
  </si>
  <si>
    <t>2014-11-06T23:21:28.246Z</t>
  </si>
  <si>
    <t>134 km NNE of Labuan Bajo, Indonesia</t>
  </si>
  <si>
    <t>1975-03-17T10:49:01.700Z</t>
  </si>
  <si>
    <t>usp0000a97</t>
  </si>
  <si>
    <t>2014-11-06T23:21:29.395Z</t>
  </si>
  <si>
    <t>194 km NNW of Maubara, Timor Leste</t>
  </si>
  <si>
    <t>1975-07-06T23:48:09.100Z</t>
  </si>
  <si>
    <t>usp0000bxb</t>
  </si>
  <si>
    <t>2014-11-06T23:21:31.128Z</t>
  </si>
  <si>
    <t>152 km N of Ruteng, Indonesia</t>
  </si>
  <si>
    <t>1975-07-28T23:53:39.000Z</t>
  </si>
  <si>
    <t>usp0000c7c</t>
  </si>
  <si>
    <t>2014-11-06T23:21:31.508Z</t>
  </si>
  <si>
    <t>150 km N of Ruteng, Indonesia</t>
  </si>
  <si>
    <t>1975-09-27T15:36:25.100Z</t>
  </si>
  <si>
    <t>usp0000cyt</t>
  </si>
  <si>
    <t>2014-11-06T23:21:32.139Z</t>
  </si>
  <si>
    <t>112 km NNE of Labuan Bajo, Indonesia</t>
  </si>
  <si>
    <t>1975-10-16T17:38:55.100Z</t>
  </si>
  <si>
    <t>usp0000d5d</t>
  </si>
  <si>
    <t>2014-11-06T23:21:32.268Z</t>
  </si>
  <si>
    <t>135 km NNW of Maubara, Timor Leste</t>
  </si>
  <si>
    <t>1975-10-31T07:41:28.100Z</t>
  </si>
  <si>
    <t>usp0000dbz</t>
  </si>
  <si>
    <t>2014-11-06T23:21:32.402Z</t>
  </si>
  <si>
    <t>126 km N of Likisรก, Timor Leste</t>
  </si>
  <si>
    <t>1975-11-10T17:30:21.100Z</t>
  </si>
  <si>
    <t>usp0000dgw</t>
  </si>
  <si>
    <t>2014-11-06T23:21:32.634Z</t>
  </si>
  <si>
    <t>235 km NNW of Maubara, Timor Leste</t>
  </si>
  <si>
    <t>1975-12-05T14:27:19.800Z</t>
  </si>
  <si>
    <t>usp0000du7</t>
  </si>
  <si>
    <t>2025-12-19T20:24:20.026Z</t>
  </si>
  <si>
    <t>262 km N of Maubara, Timor Leste</t>
  </si>
  <si>
    <t>1976-01-23T05:45:30.500Z</t>
  </si>
  <si>
    <t>usp0000ep4</t>
  </si>
  <si>
    <t>2025-12-19T20:24:00.805Z</t>
  </si>
  <si>
    <t>112 km N of Labuan Bajo, Indonesia</t>
  </si>
  <si>
    <t>1976-02-03T10:45:58.100Z</t>
  </si>
  <si>
    <t>usp0000ewh</t>
  </si>
  <si>
    <t>2025-12-19T20:22:13.173Z</t>
  </si>
  <si>
    <t>235 km NW of Maubara, Timor Leste</t>
  </si>
  <si>
    <t>1976-06-09T14:25:37.400Z</t>
  </si>
  <si>
    <t>usp0000gt6</t>
  </si>
  <si>
    <t>2014-11-06T23:21:35.600Z</t>
  </si>
  <si>
    <t>1976-12-05T14:24:36.200Z</t>
  </si>
  <si>
    <t>usp0000kn1</t>
  </si>
  <si>
    <t>2014-11-06T23:21:38.492Z</t>
  </si>
  <si>
    <t>228 km NW of Maubara, Timor Leste</t>
  </si>
  <si>
    <t>1977-04-08T12:40:06.500Z</t>
  </si>
  <si>
    <t>usp0000na8</t>
  </si>
  <si>
    <t>2014-11-06T23:21:40.740Z</t>
  </si>
  <si>
    <t>1977-06-02T02:12:19.800Z</t>
  </si>
  <si>
    <t>usp0000p4b</t>
  </si>
  <si>
    <t>2014-11-06T23:21:42.200Z</t>
  </si>
  <si>
    <t>170 km N of Likisรก, Timor Leste</t>
  </si>
  <si>
    <t>1977-06-09T03:34:37.900Z</t>
  </si>
  <si>
    <t>usp0000p7c</t>
  </si>
  <si>
    <t>2014-11-06T23:21:42.294Z</t>
  </si>
  <si>
    <t>170 km SE of Katabu, Indonesia</t>
  </si>
  <si>
    <t>1977-06-09T06:41:09.600Z</t>
  </si>
  <si>
    <t>usp0000p7e</t>
  </si>
  <si>
    <t>2014-11-06T23:21:42.296Z</t>
  </si>
  <si>
    <t>179 km SE of Katabu, Indonesia</t>
  </si>
  <si>
    <t>1977-12-06T14:25:08.200Z</t>
  </si>
  <si>
    <t>usp0000ryh</t>
  </si>
  <si>
    <t>2014-11-06T23:21:45.842Z</t>
  </si>
  <si>
    <t>278 km N of Dili, Timor Leste</t>
  </si>
  <si>
    <t>1978-02-21T07:14:05.300Z</t>
  </si>
  <si>
    <t>usp0000t2u</t>
  </si>
  <si>
    <t>2026-01-07T19:26:57.793Z</t>
  </si>
  <si>
    <t>1978-02-21T07:47:21.700Z</t>
  </si>
  <si>
    <t>usp0000t2x</t>
  </si>
  <si>
    <t>2022-04-27T15:56:52.263Z</t>
  </si>
  <si>
    <t>1978-03-22T17:22:28.800Z</t>
  </si>
  <si>
    <t>usp0000thv</t>
  </si>
  <si>
    <t>2014-11-06T23:21:47.778Z</t>
  </si>
  <si>
    <t>205 km NE of Maumere, Indonesia</t>
  </si>
  <si>
    <t>1978-06-11T07:26:25.600Z</t>
  </si>
  <si>
    <t>usp0000uzr</t>
  </si>
  <si>
    <t>2014-11-06T23:21:49.616Z</t>
  </si>
  <si>
    <t>224 km NW of Maubara, Timor Leste</t>
  </si>
  <si>
    <t>1978-06-24T01:52:35.000Z</t>
  </si>
  <si>
    <t>usp0000v8w</t>
  </si>
  <si>
    <t>2014-11-06T23:21:50.018Z</t>
  </si>
  <si>
    <t>236 km SSE of Katabu, Indonesia</t>
  </si>
  <si>
    <t>1978-10-25T00:15:26.900Z</t>
  </si>
  <si>
    <t>usp0000x49</t>
  </si>
  <si>
    <t>2022-04-27T15:24:28.090Z</t>
  </si>
  <si>
    <t>134 km SSE of Katabu, Indonesia</t>
  </si>
  <si>
    <t>1979-01-18T13:50:39.700Z</t>
  </si>
  <si>
    <t>usp0000yfy</t>
  </si>
  <si>
    <t>2014-11-06T23:21:55.872Z</t>
  </si>
  <si>
    <t>179 km NE of Maumere, Indonesia</t>
  </si>
  <si>
    <t>1979-01-25T23:52:02.500Z</t>
  </si>
  <si>
    <t>usp0000ykf</t>
  </si>
  <si>
    <t>2025-12-19T22:08:56.212Z</t>
  </si>
  <si>
    <t>145 km N of Labuan Bajo, Indonesia</t>
  </si>
  <si>
    <t>1979-05-03T16:42:15.200Z</t>
  </si>
  <si>
    <t>usp00010dy</t>
  </si>
  <si>
    <t>2014-11-06T23:22:00.842Z</t>
  </si>
  <si>
    <t>192 km N of Dili, Timor Leste</t>
  </si>
  <si>
    <t>1979-06-10T03:45:31.000Z</t>
  </si>
  <si>
    <t>usp000116c</t>
  </si>
  <si>
    <t>2014-11-06T23:22:02.446Z</t>
  </si>
  <si>
    <t>219 km NE of Maumere, Indonesia</t>
  </si>
  <si>
    <t>1979-08-14T03:43:14.100Z</t>
  </si>
  <si>
    <t>usp00012dm</t>
  </si>
  <si>
    <t>2014-11-06T23:22:04.761Z</t>
  </si>
  <si>
    <t>95 km SSE of Katabu, Indonesia</t>
  </si>
  <si>
    <t>1979-08-17T00:01:11.800Z</t>
  </si>
  <si>
    <t>usp00012fr</t>
  </si>
  <si>
    <t>2014-11-06T23:22:04.837Z</t>
  </si>
  <si>
    <t>274 km N of Likisรก, Timor Leste</t>
  </si>
  <si>
    <t>1979-11-07T17:01:36.900Z</t>
  </si>
  <si>
    <t>usp00013w4</t>
  </si>
  <si>
    <t>2014-11-06T23:22:07.158Z</t>
  </si>
  <si>
    <t>193 km N of Maubara, Timor Leste</t>
  </si>
  <si>
    <t>1979-12-04T23:53:57.300Z</t>
  </si>
  <si>
    <t>usp00014ba</t>
  </si>
  <si>
    <t>2014-11-06T23:22:07.954Z</t>
  </si>
  <si>
    <t>149 km NNE of Labuan Bajo, Indonesia</t>
  </si>
  <si>
    <t>1980-01-07T22:35:57.200Z</t>
  </si>
  <si>
    <t>usp00014x7</t>
  </si>
  <si>
    <t>2014-11-06T23:24:15.382Z</t>
  </si>
  <si>
    <t>186 km NNE of Maumere, Indonesia</t>
  </si>
  <si>
    <t>1980-05-03T16:51:37.000Z</t>
  </si>
  <si>
    <t>usp0001719</t>
  </si>
  <si>
    <t>2014-11-06T23:24:21.367Z</t>
  </si>
  <si>
    <t>136 km NNE of Labuan Bajo, Indonesia</t>
  </si>
  <si>
    <t>1980-06-07T05:45:05.800Z</t>
  </si>
  <si>
    <t>usp000180b</t>
  </si>
  <si>
    <t>2014-11-06T23:24:22.986Z</t>
  </si>
  <si>
    <t>196 km N of Maubara, Timor Leste</t>
  </si>
  <si>
    <t>1980-06-07T15:32:56.600Z</t>
  </si>
  <si>
    <t>usp000180r</t>
  </si>
  <si>
    <t>2014-11-06T23:24:23.000Z</t>
  </si>
  <si>
    <t>124 km N of Maumere, Indonesia</t>
  </si>
  <si>
    <t>1980-08-04T08:14:40.700Z</t>
  </si>
  <si>
    <t>usp000198x</t>
  </si>
  <si>
    <t>2014-11-06T23:24:25.054Z</t>
  </si>
  <si>
    <t>168 km N of Maubara, Timor Leste</t>
  </si>
  <si>
    <t>1980-09-09T13:35:01.800Z</t>
  </si>
  <si>
    <t>usp00019rj</t>
  </si>
  <si>
    <t>2014-11-06T23:24:25.908Z</t>
  </si>
  <si>
    <t>142 km N of Maumere, Indonesia</t>
  </si>
  <si>
    <t>1980-09-10T08:47:40.700Z</t>
  </si>
  <si>
    <t>usp00019rw</t>
  </si>
  <si>
    <t>2014-11-06T23:24:25.918Z</t>
  </si>
  <si>
    <t>161 km NNW of Maubara, Timor Leste</t>
  </si>
  <si>
    <t>1980-10-23T20:33:51.000Z</t>
  </si>
  <si>
    <t>usp0001ad9</t>
  </si>
  <si>
    <t>2014-11-06T23:24:26.801Z</t>
  </si>
  <si>
    <t>154 km N of Maumere, Indonesia</t>
  </si>
  <si>
    <t>1980-12-11T21:33:35.100Z</t>
  </si>
  <si>
    <t>usp0001b82</t>
  </si>
  <si>
    <t>2014-11-06T23:24:27.972Z</t>
  </si>
  <si>
    <t>181 km NE of Maumere, Indonesia</t>
  </si>
  <si>
    <t>1980-12-29T01:13:25.400Z</t>
  </si>
  <si>
    <t>usp0001bgu</t>
  </si>
  <si>
    <t>2014-11-06T23:24:28.450Z</t>
  </si>
  <si>
    <t>164 km NNW of Maubara, Timor Leste</t>
  </si>
  <si>
    <t>1981-04-06T10:17:29.080Z</t>
  </si>
  <si>
    <t>usp0001d1d</t>
  </si>
  <si>
    <t>2014-11-07T00:29:10.832Z</t>
  </si>
  <si>
    <t>151 km NNE of Labuan Bajo, Indonesia</t>
  </si>
  <si>
    <t>1981-06-11T18:43:41.690Z</t>
  </si>
  <si>
    <t>usp0001e3c</t>
  </si>
  <si>
    <t>2014-11-07T00:29:37.030Z</t>
  </si>
  <si>
    <t>216 km NNE of Maumere, Indonesia</t>
  </si>
  <si>
    <t>1981-07-09T03:48:49.400Z</t>
  </si>
  <si>
    <t>usp0001ekg</t>
  </si>
  <si>
    <t>2014-11-07T00:29:45.919Z</t>
  </si>
  <si>
    <t>118 km NNE of Labuan Bajo, Indonesia</t>
  </si>
  <si>
    <t>1981-10-14T15:10:59.730Z</t>
  </si>
  <si>
    <t>usp0001gf7</t>
  </si>
  <si>
    <t>2014-11-07T00:30:13.895Z</t>
  </si>
  <si>
    <t>1982-03-02T06:39:28.670Z</t>
  </si>
  <si>
    <t>usp0001jxe</t>
  </si>
  <si>
    <t>2025-12-19T21:45:02.000Z</t>
  </si>
  <si>
    <t>141 km NNE of Labuan Bajo, Indonesia</t>
  </si>
  <si>
    <t>1982-04-12T08:20:35.400Z</t>
  </si>
  <si>
    <t>usp0001knu</t>
  </si>
  <si>
    <t>2014-11-07T00:31:07.993Z</t>
  </si>
  <si>
    <t>179 km NNE of Maumere, Indonesia</t>
  </si>
  <si>
    <t>1982-05-10T14:04:19.410Z</t>
  </si>
  <si>
    <t>usp0001m7b</t>
  </si>
  <si>
    <t>2025-12-19T21:41:35.408Z</t>
  </si>
  <si>
    <t>210 km NW of Maubara, Timor Leste</t>
  </si>
  <si>
    <t>1982-05-19T03:24:44.190Z</t>
  </si>
  <si>
    <t>usp0001mdt</t>
  </si>
  <si>
    <t>2014-11-07T00:31:19.209Z</t>
  </si>
  <si>
    <t>207 km SSE of Katabu, Indonesia</t>
  </si>
  <si>
    <t>1982-05-26T07:59:10.690Z</t>
  </si>
  <si>
    <t>usp0001mhu</t>
  </si>
  <si>
    <t>2014-11-07T00:31:20.324Z</t>
  </si>
  <si>
    <t>229 km NW of Maubara, Timor Leste</t>
  </si>
  <si>
    <t>1982-08-09T21:09:38.240Z</t>
  </si>
  <si>
    <t>usp0001nxr</t>
  </si>
  <si>
    <t>2014-11-07T00:31:44.931Z</t>
  </si>
  <si>
    <t>129 km NNE of Labuan Bajo, Indonesia</t>
  </si>
  <si>
    <t>1982-12-18T21:11:36.250Z</t>
  </si>
  <si>
    <t>usp0001rhf</t>
  </si>
  <si>
    <t>2014-11-07T00:32:21.193Z</t>
  </si>
  <si>
    <t>196 km N of Likisรก, Timor Leste</t>
  </si>
  <si>
    <t>1982-12-28T17:00:21.030Z</t>
  </si>
  <si>
    <t>usp0001ru9</t>
  </si>
  <si>
    <t>2014-11-07T00:32:23.063Z</t>
  </si>
  <si>
    <t>152 km NNE of Labuan Bajo, Indonesia</t>
  </si>
  <si>
    <t>1983-02-18T06:22:34.750Z</t>
  </si>
  <si>
    <t>usp0001t4u</t>
  </si>
  <si>
    <t>2014-11-07T00:32:42.282Z</t>
  </si>
  <si>
    <t>154 km NNW of Maubara, Timor Leste</t>
  </si>
  <si>
    <t>1983-04-17T20:32:02.270Z</t>
  </si>
  <si>
    <t>usp0001uhw</t>
  </si>
  <si>
    <t>2014-11-07T00:32:59.513Z</t>
  </si>
  <si>
    <t>131 km N of Labuan Bajo, Indonesia</t>
  </si>
  <si>
    <t>1983-04-17T20:32:40.560Z</t>
  </si>
  <si>
    <t>usp0001uhx</t>
  </si>
  <si>
    <t>2014-11-07T00:32:59.622Z</t>
  </si>
  <si>
    <t>130 km NNW of Labuan Bajo, Indonesia</t>
  </si>
  <si>
    <t>1983-04-17T20:33:01.490Z</t>
  </si>
  <si>
    <t>usp0001uhy</t>
  </si>
  <si>
    <t>2014-11-07T00:32:59.627Z</t>
  </si>
  <si>
    <t>138 km NNW of Labuan Bajo, Indonesia</t>
  </si>
  <si>
    <t>1983-05-10T10:27:32.490Z</t>
  </si>
  <si>
    <t>usp0001v7b</t>
  </si>
  <si>
    <t>2025-12-19T20:59:05.138Z</t>
  </si>
  <si>
    <t>198 km NE of Maumere, Indonesia</t>
  </si>
  <si>
    <t>1983-06-09T20:26:50.460Z</t>
  </si>
  <si>
    <t>usp0001vzs</t>
  </si>
  <si>
    <t>2025-12-19T21:29:54.527Z</t>
  </si>
  <si>
    <t>111 km S of Katabu, Indonesia</t>
  </si>
  <si>
    <t>1983-07-23T03:25:55.980Z</t>
  </si>
  <si>
    <t>usp0001x1q</t>
  </si>
  <si>
    <t>2014-11-07T00:33:30.368Z</t>
  </si>
  <si>
    <t>116 km N of Labuan Bajo, Indonesia</t>
  </si>
  <si>
    <t>1983-08-08T12:00:59.400Z</t>
  </si>
  <si>
    <t>usp0001xgs</t>
  </si>
  <si>
    <t>2014-11-07T00:33:37.025Z</t>
  </si>
  <si>
    <t>118 km N of Maubara, Timor Leste</t>
  </si>
  <si>
    <t>1983-08-21T17:21:13.660Z</t>
  </si>
  <si>
    <t>usp0001xub</t>
  </si>
  <si>
    <t>2014-11-07T00:33:39.254Z</t>
  </si>
  <si>
    <t>159 km NNE of Ruteng, Indonesia</t>
  </si>
  <si>
    <t>1983-09-15T09:11:27.980Z</t>
  </si>
  <si>
    <t>usp0001yd5</t>
  </si>
  <si>
    <t>2014-11-07T00:33:48.422Z</t>
  </si>
  <si>
    <t>216 km NE of Maumere, Indonesia</t>
  </si>
  <si>
    <t>1983-10-13T05:02:41.510Z</t>
  </si>
  <si>
    <t>usp0001yyk</t>
  </si>
  <si>
    <t>2014-11-07T00:33:58.924Z</t>
  </si>
  <si>
    <t>243 km N of Dili, Timor Leste</t>
  </si>
  <si>
    <t>1983-11-25T11:15:47.220Z</t>
  </si>
  <si>
    <t>usp000201p</t>
  </si>
  <si>
    <t>2014-11-07T00:34:09.403Z</t>
  </si>
  <si>
    <t>148 km NNE of Labuan Bajo, Indonesia</t>
  </si>
  <si>
    <t>1984-02-10T13:32:50.520Z</t>
  </si>
  <si>
    <t>usp00021vg</t>
  </si>
  <si>
    <t>2014-11-07T00:34:29.766Z</t>
  </si>
  <si>
    <t>183 km N of Likisรก, Timor Leste</t>
  </si>
  <si>
    <t>1984-03-18T02:17:10.090Z</t>
  </si>
  <si>
    <t>mw</t>
  </si>
  <si>
    <t>usp00022qw</t>
  </si>
  <si>
    <t>2022-04-27T23:30:26.434Z</t>
  </si>
  <si>
    <t>135 km NNE of Labuan Bajo, Indonesia</t>
  </si>
  <si>
    <t>hrv</t>
  </si>
  <si>
    <t>1984-04-01T09:59:01.360Z</t>
  </si>
  <si>
    <t>usp0002364</t>
  </si>
  <si>
    <t>2022-04-27T23:25:36.876Z</t>
  </si>
  <si>
    <t>268 km ESE of Katabu, Indonesia</t>
  </si>
  <si>
    <t>1984-04-16T16:47:26.460Z</t>
  </si>
  <si>
    <t>usp00023m4</t>
  </si>
  <si>
    <t>2014-11-07T00:34:46.368Z</t>
  </si>
  <si>
    <t>172 km NW of Maubara, Timor Leste</t>
  </si>
  <si>
    <t>1984-07-03T19:32:17.940Z</t>
  </si>
  <si>
    <t>usp00025ft</t>
  </si>
  <si>
    <t>2025-12-19T21:24:14.558Z</t>
  </si>
  <si>
    <t>168 km NNE of Ruteng, Indonesia</t>
  </si>
  <si>
    <t>1984-07-24T04:23:29.770Z</t>
  </si>
  <si>
    <t>usp00025yf</t>
  </si>
  <si>
    <t>2014-11-07T00:35:12.700Z</t>
  </si>
  <si>
    <t>200 km NW of Maubara, Timor Leste</t>
  </si>
  <si>
    <t>1984-08-01T02:20:32.920Z</t>
  </si>
  <si>
    <t>usp0002652</t>
  </si>
  <si>
    <t>2025-12-19T21:23:58.065Z</t>
  </si>
  <si>
    <t>211 km SE of Katabu, Indonesia</t>
  </si>
  <si>
    <t>1984-08-10T15:32:11.040Z</t>
  </si>
  <si>
    <t>usp00026am</t>
  </si>
  <si>
    <t>2014-11-07T00:35:17.930Z</t>
  </si>
  <si>
    <t>173 km NNW of Dili, Timor Leste</t>
  </si>
  <si>
    <t>1984-10-24T16:49:30.980Z</t>
  </si>
  <si>
    <t>usp00028fn</t>
  </si>
  <si>
    <t>2014-11-07T00:35:36.298Z</t>
  </si>
  <si>
    <t>1984-11-13T04:57:42.960Z</t>
  </si>
  <si>
    <t>usp000290v</t>
  </si>
  <si>
    <t>2014-11-07T00:35:42.522Z</t>
  </si>
  <si>
    <t>295 km E of Katabu, Indonesia</t>
  </si>
  <si>
    <t>1984-11-23T21:17:56.240Z</t>
  </si>
  <si>
    <t>usp00029cj</t>
  </si>
  <si>
    <t>2014-11-07T00:35:44.542Z</t>
  </si>
  <si>
    <t>134 km NNE of Maumere, Indonesia</t>
  </si>
  <si>
    <t>1984-11-26T01:35:19.930Z</t>
  </si>
  <si>
    <t>usp00029fm</t>
  </si>
  <si>
    <t>2014-11-07T00:35:44.852Z</t>
  </si>
  <si>
    <t>189 km N of Likisรก, Timor Leste</t>
  </si>
  <si>
    <t>1985-01-13T05:45:24.710Z</t>
  </si>
  <si>
    <t>usp0002azp</t>
  </si>
  <si>
    <t>2014-11-07T00:36:01.627Z</t>
  </si>
  <si>
    <t>120 km NNE of Labuan Bajo, Indonesia</t>
  </si>
  <si>
    <t>1985-01-19T14:32:49.100Z</t>
  </si>
  <si>
    <t>usp0002b6h</t>
  </si>
  <si>
    <t>2014-11-07T00:36:03.078Z</t>
  </si>
  <si>
    <t>1985-01-19T14:47:32.550Z</t>
  </si>
  <si>
    <t>usp0002b6j</t>
  </si>
  <si>
    <t>2014-11-07T00:36:03.083Z</t>
  </si>
  <si>
    <t>142 km NNE of Labuan Bajo, Indonesia</t>
  </si>
  <si>
    <t>1985-02-03T11:03:23.580Z</t>
  </si>
  <si>
    <t>usp0002bkj</t>
  </si>
  <si>
    <t>2025-12-19T21:21:58.865Z</t>
  </si>
  <si>
    <t>174 km N of Likisรก, Timor Leste</t>
  </si>
  <si>
    <t>1985-02-20T21:20:55.350Z</t>
  </si>
  <si>
    <t>usp0002c2h</t>
  </si>
  <si>
    <t>2025-12-19T21:22:16.372Z</t>
  </si>
  <si>
    <t>153 km NNW of Maubara, Timor Leste</t>
  </si>
  <si>
    <t>1985-04-09T10:24:20.160Z</t>
  </si>
  <si>
    <t>usp0002dmq</t>
  </si>
  <si>
    <t>2014-11-07T00:36:26.018Z</t>
  </si>
  <si>
    <t>196 km NE of Maumere, Indonesia</t>
  </si>
  <si>
    <t>1985-07-26T04:27:21.210Z</t>
  </si>
  <si>
    <t>usp0002h3d</t>
  </si>
  <si>
    <t>2014-11-07T00:36:53.615Z</t>
  </si>
  <si>
    <t>178 km NNW of Maubara, Timor Leste</t>
  </si>
  <si>
    <t>1985-10-06T11:00:31.340Z</t>
  </si>
  <si>
    <t>usp0002khq</t>
  </si>
  <si>
    <t>2014-11-07T00:37:17.983Z</t>
  </si>
  <si>
    <t>185 km N of Likisรก, Timor Leste</t>
  </si>
  <si>
    <t>1985-10-25T18:12:19.580Z</t>
  </si>
  <si>
    <t>usp0002m4c</t>
  </si>
  <si>
    <t>2022-04-27T22:34:32.476Z</t>
  </si>
  <si>
    <t>197 km NNW of Maubara, Timor Leste</t>
  </si>
  <si>
    <t>1986-01-31T06:19:36.020Z</t>
  </si>
  <si>
    <t>usp0002qkm</t>
  </si>
  <si>
    <t>2014-11-07T00:37:49.573Z</t>
  </si>
  <si>
    <t>139 km NNE of Labuan Bajo, Indonesia</t>
  </si>
  <si>
    <t>1986-02-21T18:28:59.830Z</t>
  </si>
  <si>
    <t>usp0002r6j</t>
  </si>
  <si>
    <t>2014-11-07T00:37:56.391Z</t>
  </si>
  <si>
    <t>125 km S of Sinjai, Indonesia</t>
  </si>
  <si>
    <t>1986-03-21T21:35:35.830Z</t>
  </si>
  <si>
    <t>usp0002s1f</t>
  </si>
  <si>
    <t>2025-12-19T21:18:58.755Z</t>
  </si>
  <si>
    <t>129 km N of Ruteng, Indonesia</t>
  </si>
  <si>
    <t>1986-03-24T02:23:24.850Z</t>
  </si>
  <si>
    <t>usp0002s6k</t>
  </si>
  <si>
    <t>2014-11-07T00:38:05.376Z</t>
  </si>
  <si>
    <t>130 km NNE of Labuan Bajo, Indonesia</t>
  </si>
  <si>
    <t>1986-05-27T08:54:06.800Z</t>
  </si>
  <si>
    <t>usp0002ug4</t>
  </si>
  <si>
    <t>2022-04-27T22:18:09.814Z</t>
  </si>
  <si>
    <t>206 km NW of Maubara, Timor Leste</t>
  </si>
  <si>
    <t>1986-05-30T18:33:29.510Z</t>
  </si>
  <si>
    <t>usp0002um4</t>
  </si>
  <si>
    <t>2022-04-27T22:18:31.721Z</t>
  </si>
  <si>
    <t>134 km S of Katabu, Indonesia</t>
  </si>
  <si>
    <t>1986-07-06T02:17:48.190Z</t>
  </si>
  <si>
    <t>usp0002vrb</t>
  </si>
  <si>
    <t>2014-11-07T00:38:39.728Z</t>
  </si>
  <si>
    <t>160 km SSE of Katabu, Indonesia</t>
  </si>
  <si>
    <t>1986-07-18T14:25:26.660Z</t>
  </si>
  <si>
    <t>usp0002w4t</t>
  </si>
  <si>
    <t>2014-11-07T00:38:42.349Z</t>
  </si>
  <si>
    <t>165 km NNE of Maumere, Indonesia</t>
  </si>
  <si>
    <t>1986-07-20T15:20:40.030Z</t>
  </si>
  <si>
    <t>usp0002w7f</t>
  </si>
  <si>
    <t>2014-11-07T00:38:42.893Z</t>
  </si>
  <si>
    <t>145 km SSE of Katabu, Indonesia</t>
  </si>
  <si>
    <t>1986-07-30T18:26:56.460Z</t>
  </si>
  <si>
    <t>usp0002wqc</t>
  </si>
  <si>
    <t>2014-11-07T00:38:45.353Z</t>
  </si>
  <si>
    <t>143 km SSE of Katabu, Indonesia</t>
  </si>
  <si>
    <t>1986-09-03T21:53:07.850Z</t>
  </si>
  <si>
    <t>usp0002xt9</t>
  </si>
  <si>
    <t>2014-11-07T00:38:58.131Z</t>
  </si>
  <si>
    <t>158 km NNE of Labuan Bajo, Indonesia</t>
  </si>
  <si>
    <t>1986-10-04T09:10:35.100Z</t>
  </si>
  <si>
    <t>usp0002yny</t>
  </si>
  <si>
    <t>2022-04-27T22:01:27.081Z</t>
  </si>
  <si>
    <t>240 km NW of Maubara, Timor Leste</t>
  </si>
  <si>
    <t>1986-10-12T18:56:16.610Z</t>
  </si>
  <si>
    <t>usp0002ywd</t>
  </si>
  <si>
    <t>2014-11-07T00:39:08.911Z</t>
  </si>
  <si>
    <t>152 km N of Maumere, Indonesia</t>
  </si>
  <si>
    <t>1986-11-10T03:06:49.450Z</t>
  </si>
  <si>
    <t>usp0002zv9</t>
  </si>
  <si>
    <t>2014-11-07T00:39:20.318Z</t>
  </si>
  <si>
    <t>230 km SSE of Katabu, Indonesia</t>
  </si>
  <si>
    <t>1986-11-21T17:18:29.180Z</t>
  </si>
  <si>
    <t>usp000308r</t>
  </si>
  <si>
    <t>2014-11-07T00:39:22.048Z</t>
  </si>
  <si>
    <t>173 km NNE of Maumere, Indonesia</t>
  </si>
  <si>
    <t>1986-11-23T11:48:24.130Z</t>
  </si>
  <si>
    <t>usp00030b1</t>
  </si>
  <si>
    <t>2014-11-07T00:39:22.676Z</t>
  </si>
  <si>
    <t>172 km N of Likisรก, Timor Leste</t>
  </si>
  <si>
    <t>1986-12-08T11:42:53.020Z</t>
  </si>
  <si>
    <t>usp00030qq</t>
  </si>
  <si>
    <t>2014-11-07T00:39:28.701Z</t>
  </si>
  <si>
    <t>1986-12-11T12:58:11.960Z</t>
  </si>
  <si>
    <t>usp00030t4</t>
  </si>
  <si>
    <t>2014-11-07T00:39:29.133Z</t>
  </si>
  <si>
    <t>115 km SSE of Katabu, Indonesia</t>
  </si>
  <si>
    <t>1987-02-03T06:29:09.520Z</t>
  </si>
  <si>
    <t>usp000324z</t>
  </si>
  <si>
    <t>2014-11-07T00:39:45.812Z</t>
  </si>
  <si>
    <t>198 km NNW of Maubara, Timor Leste</t>
  </si>
  <si>
    <t>1987-02-23T13:14:19.240Z</t>
  </si>
  <si>
    <t>usp00032q4</t>
  </si>
  <si>
    <t>2014-11-07T00:39:53.339Z</t>
  </si>
  <si>
    <t>128 km N of Labuan Bajo, Indonesia</t>
  </si>
  <si>
    <t>1987-04-13T17:18:43.180Z</t>
  </si>
  <si>
    <t>usp000344t</t>
  </si>
  <si>
    <t>2014-11-07T00:40:14.216Z</t>
  </si>
  <si>
    <t>172 km NNW of Maubara, Timor Leste</t>
  </si>
  <si>
    <t>1987-04-20T09:31:59.460Z</t>
  </si>
  <si>
    <t>usp00034ad</t>
  </si>
  <si>
    <t>2014-11-07T00:40:16.131Z</t>
  </si>
  <si>
    <t>146 km NNE of Labuan Bajo, Indonesia</t>
  </si>
  <si>
    <t>1987-05-31T16:41:53.750Z</t>
  </si>
  <si>
    <t>usp00035dy</t>
  </si>
  <si>
    <t>2014-11-07T00:40:27.359Z</t>
  </si>
  <si>
    <t>119 km N of Labuan Bajo, Indonesia</t>
  </si>
  <si>
    <t>1987-07-17T05:25:44.920Z</t>
  </si>
  <si>
    <t>usp00036q7</t>
  </si>
  <si>
    <t>2014-11-07T00:40:41.235Z</t>
  </si>
  <si>
    <t>113 km E of Katabu, Indonesia</t>
  </si>
  <si>
    <t>1987-07-23T00:58:56.600Z</t>
  </si>
  <si>
    <t>usp00036vt</t>
  </si>
  <si>
    <t>2025-12-19T21:14:35.305Z</t>
  </si>
  <si>
    <t>164 km N of Ruteng, Indonesia</t>
  </si>
  <si>
    <t>1987-08-06T15:54:36.520Z</t>
  </si>
  <si>
    <t>usp00037a5</t>
  </si>
  <si>
    <t>2014-11-07T00:40:47.151Z</t>
  </si>
  <si>
    <t>193 km N of Likisรก, Timor Leste</t>
  </si>
  <si>
    <t>1987-09-10T02:26:23.490Z</t>
  </si>
  <si>
    <t>usp0003894</t>
  </si>
  <si>
    <t>2022-04-27T21:35:28.746Z</t>
  </si>
  <si>
    <t>203 km NE of Maumere, Indonesia</t>
  </si>
  <si>
    <t>1987-10-12T10:24:47.660Z</t>
  </si>
  <si>
    <t>usp000396j</t>
  </si>
  <si>
    <t>2014-11-07T00:41:04.843Z</t>
  </si>
  <si>
    <t>122 km N of Labuan Bajo, Indonesia</t>
  </si>
  <si>
    <t>1987-11-08T12:05:39.340Z</t>
  </si>
  <si>
    <t>usp00039zf</t>
  </si>
  <si>
    <t>2014-11-07T00:41:12.716Z</t>
  </si>
  <si>
    <t>149 km N of Likisรก, Timor Leste</t>
  </si>
  <si>
    <t>1987-11-21T19:23:56.520Z</t>
  </si>
  <si>
    <t>usp0003ab5</t>
  </si>
  <si>
    <t>2025-12-19T21:12:57.741Z</t>
  </si>
  <si>
    <t>204 km NNE of Maumere, Indonesia</t>
  </si>
  <si>
    <t>1987-11-21T19:27:42.810Z</t>
  </si>
  <si>
    <t>usp0003ab6</t>
  </si>
  <si>
    <t>2014-11-07T00:41:14.700Z</t>
  </si>
  <si>
    <t>207 km NE of Maumere, Indonesia</t>
  </si>
  <si>
    <t>1988-03-10T07:58:21.030Z</t>
  </si>
  <si>
    <t>usp0003dt5</t>
  </si>
  <si>
    <t>2022-04-28T20:51:50.116Z</t>
  </si>
  <si>
    <t>149 km N of Maumere, Indonesia</t>
  </si>
  <si>
    <t>1988-03-11T09:09:39.340Z</t>
  </si>
  <si>
    <t>usp0003duz</t>
  </si>
  <si>
    <t>2014-11-07T00:41:47.729Z</t>
  </si>
  <si>
    <t>141 km N of Maumere, Indonesia</t>
  </si>
  <si>
    <t>1988-03-21T19:03:12.650Z</t>
  </si>
  <si>
    <t>usp0003e64</t>
  </si>
  <si>
    <t>2014-11-07T00:41:49.103Z</t>
  </si>
  <si>
    <t>1988-03-22T10:03:34.900Z</t>
  </si>
  <si>
    <t>usp0003e6y</t>
  </si>
  <si>
    <t>2014-11-07T00:41:49.234Z</t>
  </si>
  <si>
    <t>190 km NNW of Likisรก, Timor Leste</t>
  </si>
  <si>
    <t>1988-03-31T18:12:37.030Z</t>
  </si>
  <si>
    <t>usp0003eh5</t>
  </si>
  <si>
    <t>2014-11-07T00:41:51.322Z</t>
  </si>
  <si>
    <t>147 km NNW of Maumere, Indonesia</t>
  </si>
  <si>
    <t>1988-05-10T10:04:12.480Z</t>
  </si>
  <si>
    <t>usp0003fu6</t>
  </si>
  <si>
    <t>2025-12-19T21:11:25.067Z</t>
  </si>
  <si>
    <t>214 km NW of Maubara, Timor Leste</t>
  </si>
  <si>
    <t>1988-05-19T16:28:43.590Z</t>
  </si>
  <si>
    <t>usp0003g3q</t>
  </si>
  <si>
    <t>2014-11-07T00:42:09.848Z</t>
  </si>
  <si>
    <t>165 km NNW of Maubara, Timor Leste</t>
  </si>
  <si>
    <t>1988-06-07T14:25:27.680Z</t>
  </si>
  <si>
    <t>usp0003gt9</t>
  </si>
  <si>
    <t>2014-11-07T00:42:18.079Z</t>
  </si>
  <si>
    <t>161 km N of Ruteng, Indonesia</t>
  </si>
  <si>
    <t>1988-06-15T01:40:45.400Z</t>
  </si>
  <si>
    <t>usp0003gzt</t>
  </si>
  <si>
    <t>2014-11-07T00:42:19.535Z</t>
  </si>
  <si>
    <t>1988-07-16T08:34:17.700Z</t>
  </si>
  <si>
    <t>usp0003hx3</t>
  </si>
  <si>
    <t>2022-04-28T20:41:11.928Z</t>
  </si>
  <si>
    <t>131 km NNE of Labuan Bajo, Indonesia</t>
  </si>
  <si>
    <t>1988-09-23T08:32:00.740Z</t>
  </si>
  <si>
    <t>usp0003m77</t>
  </si>
  <si>
    <t>2014-11-07T00:42:50.341Z</t>
  </si>
  <si>
    <t>196 km N of Maumere, Indonesia</t>
  </si>
  <si>
    <t>1988-10-27T15:07:17.570Z</t>
  </si>
  <si>
    <t>usp0003n95</t>
  </si>
  <si>
    <t>2022-04-28T20:34:19.320Z</t>
  </si>
  <si>
    <t>1988-11-19T22:13:35.470Z</t>
  </si>
  <si>
    <t>usp0003nzr</t>
  </si>
  <si>
    <t>2014-11-07T00:43:07.434Z</t>
  </si>
  <si>
    <t>1988-11-29T15:23:25.160Z</t>
  </si>
  <si>
    <t>usp0003pbr</t>
  </si>
  <si>
    <t>2014-11-07T00:43:10.585Z</t>
  </si>
  <si>
    <t>182 km NE of Maumere, Indonesia</t>
  </si>
  <si>
    <t>1988-12-05T10:44:48.080Z</t>
  </si>
  <si>
    <t>usp0003pjb</t>
  </si>
  <si>
    <t>2014-11-07T00:43:15.270Z</t>
  </si>
  <si>
    <t>226 km NE of Maumere, Indonesia</t>
  </si>
  <si>
    <t>1988-12-05T11:21:53.510Z</t>
  </si>
  <si>
    <t>usp0003pje</t>
  </si>
  <si>
    <t>2014-11-07T00:43:15.280Z</t>
  </si>
  <si>
    <t>215 km NNE of Maumere, Indonesia</t>
  </si>
  <si>
    <t>1988-12-05T11:22:06.800Z</t>
  </si>
  <si>
    <t>usp0003pjf</t>
  </si>
  <si>
    <t>2014-11-07T00:43:15.296Z</t>
  </si>
  <si>
    <t>222 km NE of Maumere, Indonesia</t>
  </si>
  <si>
    <t>1988-12-05T11:22:20.200Z</t>
  </si>
  <si>
    <t>usp0003pjg</t>
  </si>
  <si>
    <t>2025-12-19T21:08:07.329Z</t>
  </si>
  <si>
    <t>212 km NE of Maumere, Indonesia</t>
  </si>
  <si>
    <t>1988-12-05T13:49:09.910Z</t>
  </si>
  <si>
    <t>usp0003pjm</t>
  </si>
  <si>
    <t>2014-11-07T00:43:15.338Z</t>
  </si>
  <si>
    <t>224 km NE of Maumere, Indonesia</t>
  </si>
  <si>
    <t>1989-02-05T20:21:53.250Z</t>
  </si>
  <si>
    <t>usp0003rka</t>
  </si>
  <si>
    <t>2014-11-07T00:43:34.003Z</t>
  </si>
  <si>
    <t>156 km NNW of Maumere, Indonesia</t>
  </si>
  <si>
    <t>1989-04-29T10:14:33.080Z</t>
  </si>
  <si>
    <t>usp0003ums</t>
  </si>
  <si>
    <t>2014-11-07T00:44:03.148Z</t>
  </si>
  <si>
    <t>145 km N of Ruteng, Indonesia</t>
  </si>
  <si>
    <t>1989-06-21T22:43:32.860Z</t>
  </si>
  <si>
    <t>usp0003wgc</t>
  </si>
  <si>
    <t>2014-11-07T00:44:23.661Z</t>
  </si>
  <si>
    <t>183 km N of Maumere, Indonesia</t>
  </si>
  <si>
    <t>1989-07-25T21:54:23.110Z</t>
  </si>
  <si>
    <t>usp0003xpu</t>
  </si>
  <si>
    <t>2022-04-28T20:14:46.411Z</t>
  </si>
  <si>
    <t>167 km NNE of Maumere, Indonesia</t>
  </si>
  <si>
    <t>1989-08-11T20:58:42.440Z</t>
  </si>
  <si>
    <t>usp0003yce</t>
  </si>
  <si>
    <t>2014-11-07T00:44:41.572Z</t>
  </si>
  <si>
    <t>161 km NNE of Maumere, Indonesia</t>
  </si>
  <si>
    <t>1989-12-14T13:02:46.010Z</t>
  </si>
  <si>
    <t>usp000432c</t>
  </si>
  <si>
    <t>2014-11-07T00:45:21.146Z</t>
  </si>
  <si>
    <t>129 km S of Katabu, Indonesia</t>
  </si>
  <si>
    <t>1989-12-22T21:09:38.060Z</t>
  </si>
  <si>
    <t>usp00043fg</t>
  </si>
  <si>
    <t>2025-12-19T21:03:35.151Z</t>
  </si>
  <si>
    <t>184 km NNW of Maubara, Timor Leste</t>
  </si>
  <si>
    <t>1990-01-01T16:07:27.320Z</t>
  </si>
  <si>
    <t>usp00043tq</t>
  </si>
  <si>
    <t>2025-12-19T21:02:55.332Z</t>
  </si>
  <si>
    <t>155 km N of Likisรก, Timor Leste</t>
  </si>
  <si>
    <t>1990-05-24T20:09:23.240Z</t>
  </si>
  <si>
    <t>usp00049qg</t>
  </si>
  <si>
    <t>2022-04-28T19:49:46.775Z</t>
  </si>
  <si>
    <t>1990-05-27T19:31:31.520Z</t>
  </si>
  <si>
    <t>usp00049v7</t>
  </si>
  <si>
    <t>2014-11-07T00:46:24.656Z</t>
  </si>
  <si>
    <t>130 km N of Ruteng, Indonesia</t>
  </si>
  <si>
    <t>1990-06-14T14:02:02.140Z</t>
  </si>
  <si>
    <t>usp0004agr</t>
  </si>
  <si>
    <t>2014-11-07T00:46:31.822Z</t>
  </si>
  <si>
    <t>177 km N of Likisรก, Timor Leste</t>
  </si>
  <si>
    <t>1990-07-22T10:20:44.550Z</t>
  </si>
  <si>
    <t>usp0004ccs</t>
  </si>
  <si>
    <t>2014-11-07T00:46:45.521Z</t>
  </si>
  <si>
    <t>153 km N of Ruteng, Indonesia</t>
  </si>
  <si>
    <t>1990-09-06T19:51:26.810Z</t>
  </si>
  <si>
    <t>usp0004ecw</t>
  </si>
  <si>
    <t>2014-11-07T00:47:05.363Z</t>
  </si>
  <si>
    <t>213 km N of Maubara, Timor Leste</t>
  </si>
  <si>
    <t>1990-09-16T10:54:58.540Z</t>
  </si>
  <si>
    <t>usp0004esx</t>
  </si>
  <si>
    <t>2014-11-07T00:47:07.245Z</t>
  </si>
  <si>
    <t>179 km N of Maubara, Timor Leste</t>
  </si>
  <si>
    <t>1990-09-22T07:13:01.420Z</t>
  </si>
  <si>
    <t>usp0004eyh</t>
  </si>
  <si>
    <t>2014-11-07T00:47:07.813Z</t>
  </si>
  <si>
    <t>242 km SE of Katabu, Indonesia</t>
  </si>
  <si>
    <t>1990-09-26T07:44:31.430Z</t>
  </si>
  <si>
    <t>usp0004f2p</t>
  </si>
  <si>
    <t>2014-11-07T00:47:08.283Z</t>
  </si>
  <si>
    <t>246 km SE of Katabu, Indonesia</t>
  </si>
  <si>
    <t>1990-10-15T11:46:38.980Z</t>
  </si>
  <si>
    <t>usp0004ft0</t>
  </si>
  <si>
    <t>2014-11-07T00:47:16.996Z</t>
  </si>
  <si>
    <t>1991-05-03T17:36:00.230Z</t>
  </si>
  <si>
    <t>usp0004r6g</t>
  </si>
  <si>
    <t>2014-11-07T00:48:32.157Z</t>
  </si>
  <si>
    <t>1991-05-25T06:27:49.230Z</t>
  </si>
  <si>
    <t>usp0004s24</t>
  </si>
  <si>
    <t>2014-11-07T00:48:37.357Z</t>
  </si>
  <si>
    <t>121 km N of Komodo, Indonesia</t>
  </si>
  <si>
    <t>1991-06-07T11:51:25.970Z</t>
  </si>
  <si>
    <t>usp0004smx</t>
  </si>
  <si>
    <t>2022-04-28T19:09:28.074Z</t>
  </si>
  <si>
    <t>160 km NNE of Maumere, Indonesia</t>
  </si>
  <si>
    <t>1991-07-06T11:10:19.530Z</t>
  </si>
  <si>
    <t>usp0004tua</t>
  </si>
  <si>
    <t>2014-11-07T00:48:52.752Z</t>
  </si>
  <si>
    <t>153 km N of Maumere, Indonesia</t>
  </si>
  <si>
    <t>1991-08-14T21:38:07.280Z</t>
  </si>
  <si>
    <t>usp0004vc0</t>
  </si>
  <si>
    <t>2014-11-07T00:49:05.396Z</t>
  </si>
  <si>
    <t>196 km NNW of Maubara, Timor Leste</t>
  </si>
  <si>
    <t>1991-09-07T04:14:25.470Z</t>
  </si>
  <si>
    <t>usp0004wbr</t>
  </si>
  <si>
    <t>2014-11-07T00:49:14.002Z</t>
  </si>
  <si>
    <t>220 km NW of Maubara, Timor Leste</t>
  </si>
  <si>
    <t>1991-09-26T05:33:10.880Z</t>
  </si>
  <si>
    <t>usp0004x2a</t>
  </si>
  <si>
    <t>2014-11-07T00:49:17.484Z</t>
  </si>
  <si>
    <t>188 km N of Likisรก, Timor Leste</t>
  </si>
  <si>
    <t>1991-09-28T09:13:58.820Z</t>
  </si>
  <si>
    <t>usp0004x5e</t>
  </si>
  <si>
    <t>2014-11-07T00:49:17.929Z</t>
  </si>
  <si>
    <t>152 km N of Likisรก, Timor Leste</t>
  </si>
  <si>
    <t>1991-09-28T11:00:03.820Z</t>
  </si>
  <si>
    <t>usp0004x5j</t>
  </si>
  <si>
    <t>2014-11-07T00:49:17.947Z</t>
  </si>
  <si>
    <t>131 km NNW of Labuan Bajo, Indonesia</t>
  </si>
  <si>
    <t>1991-12-01T06:55:45.810Z</t>
  </si>
  <si>
    <t>usp0004zw1</t>
  </si>
  <si>
    <t>2014-11-07T00:49:39.597Z</t>
  </si>
  <si>
    <t>203 km N of Dili, Timor Leste</t>
  </si>
  <si>
    <t>1991-12-15T20:00:47.790Z</t>
  </si>
  <si>
    <t>usp00050gw</t>
  </si>
  <si>
    <t>2014-11-07T00:49:44.777Z</t>
  </si>
  <si>
    <t>160 km N of Likisรก, Timor Leste</t>
  </si>
  <si>
    <t>1991-12-24T20:58:47.630Z</t>
  </si>
  <si>
    <t>usp00050xp</t>
  </si>
  <si>
    <t>2014-11-07T00:49:47.066Z</t>
  </si>
  <si>
    <t>138 km NNE of Maumere, Indonesia</t>
  </si>
  <si>
    <t>1992-03-11T16:56:42.480Z</t>
  </si>
  <si>
    <t>usp000544f</t>
  </si>
  <si>
    <t>2014-11-07T00:50:15.323Z</t>
  </si>
  <si>
    <t>150 km N of Maumere, Indonesia</t>
  </si>
  <si>
    <t>1992-03-17T10:51:22.140Z</t>
  </si>
  <si>
    <t>usp00054de</t>
  </si>
  <si>
    <t>2025-12-19T23:00:44.975Z</t>
  </si>
  <si>
    <t>139 km NNW of Maubara, Timor Leste</t>
  </si>
  <si>
    <t>1992-03-26T13:27:39.590Z</t>
  </si>
  <si>
    <t>usp00054vk</t>
  </si>
  <si>
    <t>2025-12-19T23:00:50.588Z</t>
  </si>
  <si>
    <t>201 km NNW of Maubara, Timor Leste</t>
  </si>
  <si>
    <t>1992-04-08T05:56:16.750Z</t>
  </si>
  <si>
    <t>usp00055ge</t>
  </si>
  <si>
    <t>2014-11-07T00:50:25.757Z</t>
  </si>
  <si>
    <t>252 km NNW of Maubara, Timor Leste</t>
  </si>
  <si>
    <t>1992-05-22T01:24:05.810Z</t>
  </si>
  <si>
    <t>usp00057v9</t>
  </si>
  <si>
    <t>2014-11-07T00:50:40.452Z</t>
  </si>
  <si>
    <t>128 km N of Likisรก, Timor Leste</t>
  </si>
  <si>
    <t>1992-06-18T06:57:15.300Z</t>
  </si>
  <si>
    <t>usp0005990</t>
  </si>
  <si>
    <t>2014-11-07T00:50:50.759Z</t>
  </si>
  <si>
    <t>162 km N of Likisรก, Timor Leste</t>
  </si>
  <si>
    <t>1992-07-28T01:40:04.810Z</t>
  </si>
  <si>
    <t>usp0005bm2</t>
  </si>
  <si>
    <t>2014-11-07T00:51:08.105Z</t>
  </si>
  <si>
    <t>165 km N of Likisรก, Timor Leste</t>
  </si>
  <si>
    <t>1992-08-02T12:03:20.350Z</t>
  </si>
  <si>
    <t>mwb</t>
  </si>
  <si>
    <t>usp0005bvx</t>
  </si>
  <si>
    <t>2022-04-28T18:38:20.075Z</t>
  </si>
  <si>
    <t>172 km NNW of Maumere, Indonesia</t>
  </si>
  <si>
    <t>1992-09-13T07:51:45.800Z</t>
  </si>
  <si>
    <t>usp0005dxx</t>
  </si>
  <si>
    <t>2014-11-07T00:51:28.078Z</t>
  </si>
  <si>
    <t>1992-10-26T15:00:04.720Z</t>
  </si>
  <si>
    <t>usp0005fx8</t>
  </si>
  <si>
    <t>2014-11-07T00:51:43.356Z</t>
  </si>
  <si>
    <t>1992-12-21T17:37:39.440Z</t>
  </si>
  <si>
    <t>usp0005jm8</t>
  </si>
  <si>
    <t>2014-11-07T00:52:04.257Z</t>
  </si>
  <si>
    <t>1992-12-24T23:20:18.890Z</t>
  </si>
  <si>
    <t>usp0005jtc</t>
  </si>
  <si>
    <t>2014-11-07T00:52:05.033Z</t>
  </si>
  <si>
    <t>195 km NNE of Maumere, Indonesia</t>
  </si>
  <si>
    <t>1992-12-29T17:32:58.200Z</t>
  </si>
  <si>
    <t>usp0005k1c</t>
  </si>
  <si>
    <t>2014-11-07T00:52:06.235Z</t>
  </si>
  <si>
    <t>125 km NNE of Ruteng, Indonesia</t>
  </si>
  <si>
    <t>1993-06-09T07:46:01.700Z</t>
  </si>
  <si>
    <t>usp0005u8g</t>
  </si>
  <si>
    <t>2014-11-07T00:53:12.083Z</t>
  </si>
  <si>
    <t>42 km W of Watampone, Indonesia</t>
  </si>
  <si>
    <t>1993-06-18T06:17:39.030Z</t>
  </si>
  <si>
    <t>usp0005urz</t>
  </si>
  <si>
    <t>2014-11-07T00:53:16.036Z</t>
  </si>
  <si>
    <t>117 km ESE of Katabu, Indonesia</t>
  </si>
  <si>
    <t>1993-06-21T20:39:16.580Z</t>
  </si>
  <si>
    <t>usp0005uza</t>
  </si>
  <si>
    <t>2014-11-07T00:53:17.906Z</t>
  </si>
  <si>
    <t>110 km NNE of Bima, Indonesia</t>
  </si>
  <si>
    <t>1993-06-30T10:40:29.050Z</t>
  </si>
  <si>
    <t>usp0005ved</t>
  </si>
  <si>
    <t>2014-11-07T00:53:20.829Z</t>
  </si>
  <si>
    <t>1993-08-07T14:11:31.230Z</t>
  </si>
  <si>
    <t>usp0005y2k</t>
  </si>
  <si>
    <t>2014-11-07T00:53:40.361Z</t>
  </si>
  <si>
    <t>280 km N of Likisรก, Timor Leste</t>
  </si>
  <si>
    <t>1993-09-17T11:01:16.540Z</t>
  </si>
  <si>
    <t>usp00060h9</t>
  </si>
  <si>
    <t>2014-11-07T00:53:58.748Z</t>
  </si>
  <si>
    <t>195 km N of Dili, Timor Leste</t>
  </si>
  <si>
    <t>1993-10-17T09:23:00.980Z</t>
  </si>
  <si>
    <t>usp000624j</t>
  </si>
  <si>
    <t>2014-11-07T00:54:13.067Z</t>
  </si>
  <si>
    <t>135 km N of Labuan Bajo, Indonesia</t>
  </si>
  <si>
    <t>1994-03-19T10:31:39.870Z</t>
  </si>
  <si>
    <t>usp00069wy</t>
  </si>
  <si>
    <t>2014-11-07T00:55:10.075Z</t>
  </si>
  <si>
    <t>167 km SE of Katabu, Indonesia</t>
  </si>
  <si>
    <t>1994-04-25T19:20:39.960Z</t>
  </si>
  <si>
    <t>usp0006bmg</t>
  </si>
  <si>
    <t>2014-11-07T00:55:20.971Z</t>
  </si>
  <si>
    <t>141 km NNE of Bima, Indonesia</t>
  </si>
  <si>
    <t>1994-04-27T21:39:35.240Z</t>
  </si>
  <si>
    <t>usp0006bre</t>
  </si>
  <si>
    <t>2014-11-07T00:55:21.565Z</t>
  </si>
  <si>
    <t>1994-05-10T18:41:27.240Z</t>
  </si>
  <si>
    <t>usp0006ccf</t>
  </si>
  <si>
    <t>2014-11-07T00:55:27.774Z</t>
  </si>
  <si>
    <t>194 km NE of Maumere, Indonesia</t>
  </si>
  <si>
    <t>1994-06-07T07:50:39.580Z</t>
  </si>
  <si>
    <t>usp0006dw1</t>
  </si>
  <si>
    <t>2014-11-07T00:55:39.941Z</t>
  </si>
  <si>
    <t>108 km N of Labuan Bajo, Indonesia</t>
  </si>
  <si>
    <t>1994-07-19T05:31:51.350Z</t>
  </si>
  <si>
    <t>usp0006fw0</t>
  </si>
  <si>
    <t>2014-11-07T00:55:52.903Z</t>
  </si>
  <si>
    <t>123 km N of Labuan Bajo, Indonesia</t>
  </si>
  <si>
    <t>1994-08-18T01:42:13.780Z</t>
  </si>
  <si>
    <t>usp0006h34</t>
  </si>
  <si>
    <t>2014-11-07T00:56:04.971Z</t>
  </si>
  <si>
    <t>154 km N of Ruteng, Indonesia</t>
  </si>
  <si>
    <t>1994-08-30T19:42:46.510Z</t>
  </si>
  <si>
    <t>usp0006hqe</t>
  </si>
  <si>
    <t>2022-04-28T17:35:22.915Z</t>
  </si>
  <si>
    <t>218 km NNW of Maubara, Timor Leste</t>
  </si>
  <si>
    <t>1995-01-28T21:52:59.100Z</t>
  </si>
  <si>
    <t>usp0006s15</t>
  </si>
  <si>
    <t>2014-11-07T00:57:11.941Z</t>
  </si>
  <si>
    <t>170 km N of Bima, Indonesia</t>
  </si>
  <si>
    <t>1995-02-05T01:15:47.020Z</t>
  </si>
  <si>
    <t>usp0006sd3</t>
  </si>
  <si>
    <t>2014-11-07T00:57:17.133Z</t>
  </si>
  <si>
    <t>147 km N of Maumere, Indonesia</t>
  </si>
  <si>
    <t>1995-05-20T06:20:05.250Z</t>
  </si>
  <si>
    <t>usp0006xr2</t>
  </si>
  <si>
    <t>2014-11-07T00:57:57.800Z</t>
  </si>
  <si>
    <t>1995-05-29T20:28:51.190Z</t>
  </si>
  <si>
    <t>usp0006y9n</t>
  </si>
  <si>
    <t>2014-11-07T00:58:01.037Z</t>
  </si>
  <si>
    <t>168 km N of Likisรก, Timor Leste</t>
  </si>
  <si>
    <t>1995-05-30T09:09:18.670Z</t>
  </si>
  <si>
    <t>usp0006yaq</t>
  </si>
  <si>
    <t>2025-12-19T22:22:01.540Z</t>
  </si>
  <si>
    <t>241 km NE of Maumere, Indonesia</t>
  </si>
  <si>
    <t>1995-08-14T14:30:45.470Z</t>
  </si>
  <si>
    <t>usp00071ub</t>
  </si>
  <si>
    <t>2014-11-07T00:58:31.704Z</t>
  </si>
  <si>
    <t>183 km NNW of Maubara, Timor Leste</t>
  </si>
  <si>
    <t>1995-10-25T13:47:13.280Z</t>
  </si>
  <si>
    <t>usp00075rp</t>
  </si>
  <si>
    <t>2022-04-29T19:55:53.918Z</t>
  </si>
  <si>
    <t>233 km NE of Maumere, Indonesia</t>
  </si>
  <si>
    <t>1995-10-25T13:48:08.120Z</t>
  </si>
  <si>
    <t>usp00075rq</t>
  </si>
  <si>
    <t>2014-11-07T00:59:00.780Z</t>
  </si>
  <si>
    <t>235 km NE of Maumere, Indonesia</t>
  </si>
  <si>
    <t>1995-12-07T12:37:12.100Z</t>
  </si>
  <si>
    <t>usp00078h2</t>
  </si>
  <si>
    <t>2014-11-07T00:59:23.716Z</t>
  </si>
  <si>
    <t>1996-01-02T10:58:52.200Z</t>
  </si>
  <si>
    <t>usp0007a5w</t>
  </si>
  <si>
    <t>2014-11-07T00:59:35.823Z</t>
  </si>
  <si>
    <t>208 km NE of Maumere, Indonesia</t>
  </si>
  <si>
    <t>1996-01-07T05:28:00.990Z</t>
  </si>
  <si>
    <t>usp0007ahs</t>
  </si>
  <si>
    <t>2014-11-07T00:59:37.382Z</t>
  </si>
  <si>
    <t>184 km N of Dili, Timor Leste</t>
  </si>
  <si>
    <t>1996-01-29T00:36:33.120Z</t>
  </si>
  <si>
    <t>usp0007bx3</t>
  </si>
  <si>
    <t>2014-11-07T00:59:44.385Z</t>
  </si>
  <si>
    <t>1996-02-17T10:18:02.870Z</t>
  </si>
  <si>
    <t>usp0007d3y</t>
  </si>
  <si>
    <t>2022-04-29T20:09:28.836Z</t>
  </si>
  <si>
    <t>182 km N of Likisรก, Timor Leste</t>
  </si>
  <si>
    <t>1996-06-17T11:22:18.540Z</t>
  </si>
  <si>
    <t>mwc</t>
  </si>
  <si>
    <t>usp0007jw8</t>
  </si>
  <si>
    <t>2022-04-29T20:22:28.107Z</t>
  </si>
  <si>
    <t>169 km NNE of Maumere, Indonesia</t>
  </si>
  <si>
    <t>1996-06-17T12:03:42.010Z</t>
  </si>
  <si>
    <t>usp0007jwd</t>
  </si>
  <si>
    <t>2014-11-07T01:00:38.449Z</t>
  </si>
  <si>
    <t>140 km NNE of Maumere, Indonesia</t>
  </si>
  <si>
    <t>1996-06-17T12:07:37.180Z</t>
  </si>
  <si>
    <t>usp0007jwe</t>
  </si>
  <si>
    <t>2014-11-07T01:00:38.458Z</t>
  </si>
  <si>
    <t>1996-06-17T15:56:30.680Z</t>
  </si>
  <si>
    <t>usp0007jwm</t>
  </si>
  <si>
    <t>2014-11-07T01:00:38.474Z</t>
  </si>
  <si>
    <t>177 km NNE of Maumere, Indonesia</t>
  </si>
  <si>
    <t>1996-06-17T16:19:27.260Z</t>
  </si>
  <si>
    <t>usp0007jwp</t>
  </si>
  <si>
    <t>2014-11-07T01:00:38.492Z</t>
  </si>
  <si>
    <t>140 km N of Maumere, Indonesia</t>
  </si>
  <si>
    <t>1996-06-17T22:05:45.900Z</t>
  </si>
  <si>
    <t>usp0007jx4</t>
  </si>
  <si>
    <t>2014-11-07T01:00:38.586Z</t>
  </si>
  <si>
    <t>1996-06-18T06:00:12.790Z</t>
  </si>
  <si>
    <t>usp0007jxp</t>
  </si>
  <si>
    <t>2014-11-07T01:00:38.626Z</t>
  </si>
  <si>
    <t>133 km N of Maumere, Indonesia</t>
  </si>
  <si>
    <t>1996-06-18T06:10:29.040Z</t>
  </si>
  <si>
    <t>usp0007jxq</t>
  </si>
  <si>
    <t>2014-11-07T01:00:38.631Z</t>
  </si>
  <si>
    <t>165 km N of Maumere, Indonesia</t>
  </si>
  <si>
    <t>1996-07-04T15:37:50.640Z</t>
  </si>
  <si>
    <t>usp0007kq9</t>
  </si>
  <si>
    <t>2025-12-19T23:29:41.795Z</t>
  </si>
  <si>
    <t>164 km N of Maumere, Indonesia</t>
  </si>
  <si>
    <t>1996-08-18T10:22:35.130Z</t>
  </si>
  <si>
    <t>usp0007nr6</t>
  </si>
  <si>
    <t>2014-11-07T01:00:59.735Z</t>
  </si>
  <si>
    <t>191 km SSE of Katabu, Indonesia</t>
  </si>
  <si>
    <t>1996-08-22T05:35:42.060Z</t>
  </si>
  <si>
    <t>usp0007nwu</t>
  </si>
  <si>
    <t>2022-04-29T20:29:32.052Z</t>
  </si>
  <si>
    <t>202 km NE of Maumere, Indonesia</t>
  </si>
  <si>
    <t>1996-10-06T23:15:57.710Z</t>
  </si>
  <si>
    <t>usp0007r18</t>
  </si>
  <si>
    <t>2014-11-07T01:01:20.185Z</t>
  </si>
  <si>
    <t>194 km NW of Maubara, Timor Leste</t>
  </si>
  <si>
    <t>1996-10-07T11:19:22.260Z</t>
  </si>
  <si>
    <t>usp0007r26</t>
  </si>
  <si>
    <t>2014-11-07T01:01:20.352Z</t>
  </si>
  <si>
    <t>175 km NNE of Maumere, Indonesia</t>
  </si>
  <si>
    <t>1997-01-02T14:26:40.770Z</t>
  </si>
  <si>
    <t>usp0007vbs</t>
  </si>
  <si>
    <t>2014-11-07T01:01:54.375Z</t>
  </si>
  <si>
    <t>212 km NW of Maubara, Timor Leste</t>
  </si>
  <si>
    <t>1997-01-04T09:59:06.700Z</t>
  </si>
  <si>
    <t>usp0007vfc</t>
  </si>
  <si>
    <t>2025-12-19T22:15:49.550Z</t>
  </si>
  <si>
    <t>172 km NNE of Maumere, Indonesia</t>
  </si>
  <si>
    <t>1997-01-18T22:48:42.850Z</t>
  </si>
  <si>
    <t>usp0007w1k</t>
  </si>
  <si>
    <t>2014-11-07T01:01:58.595Z</t>
  </si>
  <si>
    <t>172 km N of Dili, Timor Leste</t>
  </si>
  <si>
    <t>1997-01-28T05:04:36.620Z</t>
  </si>
  <si>
    <t>usp0007wex</t>
  </si>
  <si>
    <t>2014-11-07T01:02:00.669Z</t>
  </si>
  <si>
    <t>132 km NNE of Ruteng, Indonesia</t>
  </si>
  <si>
    <t>1997-03-05T22:54:57.260Z</t>
  </si>
  <si>
    <t>usp0007ybp</t>
  </si>
  <si>
    <t>2014-11-07T01:02:17.904Z</t>
  </si>
  <si>
    <t>156 km NNE of Ruteng, Indonesia</t>
  </si>
  <si>
    <t>1997-03-19T12:50:58.930Z</t>
  </si>
  <si>
    <t>usp0007z30</t>
  </si>
  <si>
    <t>2014-11-07T01:02:21.081Z</t>
  </si>
  <si>
    <t>177 km ESE of Katabu, Indonesia</t>
  </si>
  <si>
    <t>1997-04-13T03:17:12.760Z</t>
  </si>
  <si>
    <t>usp00080ez</t>
  </si>
  <si>
    <t>2014-11-07T01:02:33.645Z</t>
  </si>
  <si>
    <t>146 km N of Labuan Bajo, Indonesia</t>
  </si>
  <si>
    <t>1997-05-01T07:20:16.020Z</t>
  </si>
  <si>
    <t>usp00081jj</t>
  </si>
  <si>
    <t>2014-11-07T01:02:41.946Z</t>
  </si>
  <si>
    <t>1997-06-21T18:55:36.400Z</t>
  </si>
  <si>
    <t>usp00083t6</t>
  </si>
  <si>
    <t>2014-11-07T01:02:59.104Z</t>
  </si>
  <si>
    <t>132 km NNE of Labuan Bajo, Indonesia</t>
  </si>
  <si>
    <t>1997-07-26T20:44:20.830Z</t>
  </si>
  <si>
    <t>usp00085d6</t>
  </si>
  <si>
    <t>2014-11-07T01:03:11.202Z</t>
  </si>
  <si>
    <t>1997-09-22T07:23:23.430Z</t>
  </si>
  <si>
    <t>usp00087v8</t>
  </si>
  <si>
    <t>2014-11-07T01:03:30.576Z</t>
  </si>
  <si>
    <t>1997-12-24T05:50:15.180Z</t>
  </si>
  <si>
    <t>usp0008d41</t>
  </si>
  <si>
    <t>2014-11-07T01:04:09.568Z</t>
  </si>
  <si>
    <t>1998-05-14T04:09:38.420Z</t>
  </si>
  <si>
    <t>usp0008n0w</t>
  </si>
  <si>
    <t>2014-11-07T01:05:12.929Z</t>
  </si>
  <si>
    <t>115 km N of Labuan Bajo, Indonesia</t>
  </si>
  <si>
    <t>1998-05-31T16:57:58.420Z</t>
  </si>
  <si>
    <t>usp0008p3f</t>
  </si>
  <si>
    <t>2014-11-07T01:05:17.429Z</t>
  </si>
  <si>
    <t>147 km NNE of Labuan Bajo, Indonesia</t>
  </si>
  <si>
    <t>1998-06-11T20:30:44.200Z</t>
  </si>
  <si>
    <t>usp0008prn</t>
  </si>
  <si>
    <t>2014-11-07T01:05:24.134Z</t>
  </si>
  <si>
    <t>228 km N of Likisรก, Timor Leste</t>
  </si>
  <si>
    <t>1998-06-27T07:32:38.170Z</t>
  </si>
  <si>
    <t>usp0008qjs</t>
  </si>
  <si>
    <t>2014-11-07T01:05:27.356Z</t>
  </si>
  <si>
    <t>77 km S of Katabu, Indonesia</t>
  </si>
  <si>
    <t>1998-07-12T08:22:30.020Z</t>
  </si>
  <si>
    <t>usp0008rc9</t>
  </si>
  <si>
    <t>2014-11-07T01:05:34.923Z</t>
  </si>
  <si>
    <t>170 km NNW of Maubara, Timor Leste</t>
  </si>
  <si>
    <t>1998-07-28T05:01:32.200Z</t>
  </si>
  <si>
    <t>usp0008s9q</t>
  </si>
  <si>
    <t>2014-11-07T01:05:39.154Z</t>
  </si>
  <si>
    <t>153 km NNE of Labuan Bajo, Indonesia</t>
  </si>
  <si>
    <t>1998-07-31T15:17:25.490Z</t>
  </si>
  <si>
    <t>usp0008sj5</t>
  </si>
  <si>
    <t>2025-12-19T22:17:42.237Z</t>
  </si>
  <si>
    <t>200 km SE of Katabu, Indonesia</t>
  </si>
  <si>
    <t>1998-11-10T09:56:33.480Z</t>
  </si>
  <si>
    <t>usp0008xz5</t>
  </si>
  <si>
    <t>2014-11-07T01:06:26.152Z</t>
  </si>
  <si>
    <t>1998-12-07T08:17:47.460Z</t>
  </si>
  <si>
    <t>usp0008z9j</t>
  </si>
  <si>
    <t>2014-11-07T01:06:36.957Z</t>
  </si>
  <si>
    <t>157 km NNE of Labuan Bajo, Indonesia</t>
  </si>
  <si>
    <t>1998-12-22T19:30:02.490Z</t>
  </si>
  <si>
    <t>usp0009015</t>
  </si>
  <si>
    <t>2014-11-07T01:06:41.280Z</t>
  </si>
  <si>
    <t>157 km N of Ruteng, Indonesia</t>
  </si>
  <si>
    <t>1999-02-01T05:33:17.980Z</t>
  </si>
  <si>
    <t>usp0009224</t>
  </si>
  <si>
    <t>2014-11-07T01:06:54.688Z</t>
  </si>
  <si>
    <t>156 km NNE of Labuan Bajo, Indonesia</t>
  </si>
  <si>
    <t>1999-02-09T08:53:42.500Z</t>
  </si>
  <si>
    <t>usp00092h8</t>
  </si>
  <si>
    <t>2014-11-07T01:07:00.594Z</t>
  </si>
  <si>
    <t>198 km N of Likisรก, Timor Leste</t>
  </si>
  <si>
    <t>1999-03-12T00:30:48.510Z</t>
  </si>
  <si>
    <t>usp00094b9</t>
  </si>
  <si>
    <t>2025-12-19T22:30:54.085Z</t>
  </si>
  <si>
    <t>1999-09-12T21:22:14.130Z</t>
  </si>
  <si>
    <t>usp0009ecq</t>
  </si>
  <si>
    <t>2014-11-07T01:08:28.424Z</t>
  </si>
  <si>
    <t>80 km ENE of Katabu, Indonesia</t>
  </si>
  <si>
    <t>1999-09-23T22:23:15.700Z</t>
  </si>
  <si>
    <t>usp0009exu</t>
  </si>
  <si>
    <t>2014-11-07T01:08:31.538Z</t>
  </si>
  <si>
    <t>190 km NNW of Maubara, Timor Leste</t>
  </si>
  <si>
    <t>1999-10-03T00:29:45.440Z</t>
  </si>
  <si>
    <t>usp0009fby</t>
  </si>
  <si>
    <t>2014-11-07T01:08:39.245Z</t>
  </si>
  <si>
    <t>142 km N of Ruteng, Indonesia</t>
  </si>
  <si>
    <t>1999-10-03T06:36:08.840Z</t>
  </si>
  <si>
    <t>usp0009fch</t>
  </si>
  <si>
    <t>2014-11-07T01:08:39.377Z</t>
  </si>
  <si>
    <t>164 km N of Maubara, Timor Leste</t>
  </si>
  <si>
    <t>1999-10-13T22:53:13.660Z</t>
  </si>
  <si>
    <t>usp0009ft8</t>
  </si>
  <si>
    <t>2014-11-07T01:08:41.718Z</t>
  </si>
  <si>
    <t>199 km NW of Maubara, Timor Leste</t>
  </si>
  <si>
    <t>2000-01-28T13:17:52.870Z</t>
  </si>
  <si>
    <t>usp0009msd</t>
  </si>
  <si>
    <t>2025-12-19T22:41:35.111Z</t>
  </si>
  <si>
    <t>135 km NNE of Maumere, Indonesia</t>
  </si>
  <si>
    <t>2000-06-29T16:23:47.400Z</t>
  </si>
  <si>
    <t>usp0009vek</t>
  </si>
  <si>
    <t>2014-11-07T01:10:26.148Z</t>
  </si>
  <si>
    <t>2000-08-07T14:33:55.910Z</t>
  </si>
  <si>
    <t>usp0009y2g</t>
  </si>
  <si>
    <t>2022-04-29T18:47:47.706Z</t>
  </si>
  <si>
    <t>217 km NE of Maumere, Indonesia</t>
  </si>
  <si>
    <t>2000-08-07T16:17:43.370Z</t>
  </si>
  <si>
    <t>usp0009y2n</t>
  </si>
  <si>
    <t>2014-11-07T01:10:50.170Z</t>
  </si>
  <si>
    <t>2000-08-24T17:01:43.710Z</t>
  </si>
  <si>
    <t>usp0009z3t</t>
  </si>
  <si>
    <t>2014-11-07T01:10:54.757Z</t>
  </si>
  <si>
    <t>177 km NNW of Maubara, Timor Leste</t>
  </si>
  <si>
    <t>2000-08-26T13:55:26.260Z</t>
  </si>
  <si>
    <t>usp0009z6t</t>
  </si>
  <si>
    <t>2022-04-29T18:51:13.759Z</t>
  </si>
  <si>
    <t>128 km SE of Katabu, Indonesia</t>
  </si>
  <si>
    <t>2000-08-31T14:23:52.610Z</t>
  </si>
  <si>
    <t>usp0009zfp</t>
  </si>
  <si>
    <t>2014-11-07T01:10:56.779Z</t>
  </si>
  <si>
    <t>126 km SSE of Katabu, Indonesia</t>
  </si>
  <si>
    <t>2000-09-10T10:12:32.590Z</t>
  </si>
  <si>
    <t>usp000a005</t>
  </si>
  <si>
    <t>2014-11-07T01:11:03.940Z</t>
  </si>
  <si>
    <t>Flores Sea</t>
  </si>
  <si>
    <t>2000-10-17T11:50:36.030Z</t>
  </si>
  <si>
    <t>usp000a1ys</t>
  </si>
  <si>
    <t>2014-11-07T01:11:16.990Z</t>
  </si>
  <si>
    <t>2000-12-27T02:31:34.990Z</t>
  </si>
  <si>
    <t>usp000a6sg</t>
  </si>
  <si>
    <t>2014-11-07T01:11:46.744Z</t>
  </si>
  <si>
    <t>167 km NNE of Ruteng, Indonesia</t>
  </si>
  <si>
    <t>2001-02-21T18:54:11.190Z</t>
  </si>
  <si>
    <t>usp000aa2q</t>
  </si>
  <si>
    <t>2014-11-07T01:12:10.792Z</t>
  </si>
  <si>
    <t>2001-03-18T13:00:58.270Z</t>
  </si>
  <si>
    <t>usp000abp5</t>
  </si>
  <si>
    <t>2014-11-07T01:12:22.154Z</t>
  </si>
  <si>
    <t>141 km NNE of Maumere, Indonesia</t>
  </si>
  <si>
    <t>2001-04-03T21:21:58.910Z</t>
  </si>
  <si>
    <t>usp000ach1</t>
  </si>
  <si>
    <t>2025-12-19T22:48:32.375Z</t>
  </si>
  <si>
    <t>2001-05-25T08:43:09.410Z</t>
  </si>
  <si>
    <t>usp000afh4</t>
  </si>
  <si>
    <t>2014-11-07T01:12:50.653Z</t>
  </si>
  <si>
    <t>2001-06-04T02:58:41.880Z</t>
  </si>
  <si>
    <t>usp000ag0h</t>
  </si>
  <si>
    <t>2025-12-19T22:49:02.536Z</t>
  </si>
  <si>
    <t>188 km NNW of Maubara, Timor Leste</t>
  </si>
  <si>
    <t>2001-06-06T09:50:58.420Z</t>
  </si>
  <si>
    <t>usp000ag5s</t>
  </si>
  <si>
    <t>2014-11-07T01:12:59.423Z</t>
  </si>
  <si>
    <t>130 km NNE of Maumere, Indonesia</t>
  </si>
  <si>
    <t>2001-07-08T20:31:50.620Z</t>
  </si>
  <si>
    <t>usp000aj83</t>
  </si>
  <si>
    <t>2014-11-07T01:13:15.939Z</t>
  </si>
  <si>
    <t>95 km E of Katabu, Indonesia</t>
  </si>
  <si>
    <t>2001-08-09T13:20:17.480Z</t>
  </si>
  <si>
    <t>usp000am3s</t>
  </si>
  <si>
    <t>2022-04-29T19:31:21.207Z</t>
  </si>
  <si>
    <t>142 km NNE of Ruteng, Indonesia</t>
  </si>
  <si>
    <t>2001-08-11T07:32:18.070Z</t>
  </si>
  <si>
    <t>usp000am7w</t>
  </si>
  <si>
    <t>2014-11-07T01:13:31.629Z</t>
  </si>
  <si>
    <t>186 km N of Likisรก, Timor Leste</t>
  </si>
  <si>
    <t>2001-08-12T10:27:00.620Z</t>
  </si>
  <si>
    <t>usp000amae</t>
  </si>
  <si>
    <t>2014-11-07T01:13:31.957Z</t>
  </si>
  <si>
    <t>181 km N of Likisรก, Timor Leste</t>
  </si>
  <si>
    <t>2001-10-19T08:10:34.180Z</t>
  </si>
  <si>
    <t>usp000ar7j</t>
  </si>
  <si>
    <t>2014-11-07T01:14:00.866Z</t>
  </si>
  <si>
    <t>146 km E of Katabu, Indonesia</t>
  </si>
  <si>
    <t>2001-10-19T11:22:19.770Z</t>
  </si>
  <si>
    <t>usp000ar7t</t>
  </si>
  <si>
    <t>2014-11-07T01:14:00.901Z</t>
  </si>
  <si>
    <t>172 km E of Katabu, Indonesia</t>
  </si>
  <si>
    <t>2001-10-19T11:44:48.690Z</t>
  </si>
  <si>
    <t>usp000ar7u</t>
  </si>
  <si>
    <t>2014-11-07T01:14:00.903Z</t>
  </si>
  <si>
    <t>155 km E of Katabu, Indonesia</t>
  </si>
  <si>
    <t>2001-10-19T21:42:37.240Z</t>
  </si>
  <si>
    <t>usp000ar8r</t>
  </si>
  <si>
    <t>2025-12-19T22:52:49.156Z</t>
  </si>
  <si>
    <t>170 km ENE of Katabu, Indonesia</t>
  </si>
  <si>
    <t>2001-10-20T14:03:47.580Z</t>
  </si>
  <si>
    <t>usp000ar9q</t>
  </si>
  <si>
    <t>2014-11-07T01:14:01.093Z</t>
  </si>
  <si>
    <t>203 km ESE of Katabu, Indonesia</t>
  </si>
  <si>
    <t>2001-10-20T19:17:52.290Z</t>
  </si>
  <si>
    <t>usp000ar9z</t>
  </si>
  <si>
    <t>2025-12-19T22:54:38.587Z</t>
  </si>
  <si>
    <t>157 km ENE of Katabu, Indonesia</t>
  </si>
  <si>
    <t>2001-10-20T21:56:48.300Z</t>
  </si>
  <si>
    <t>usp000ara7</t>
  </si>
  <si>
    <t>2014-11-07T01:14:01.135Z</t>
  </si>
  <si>
    <t>130 km E of Katabu, Indonesia</t>
  </si>
  <si>
    <t>2001-10-21T19:02:50.750Z</t>
  </si>
  <si>
    <t>usp000arcm</t>
  </si>
  <si>
    <t>2022-04-29T19:38:57.260Z</t>
  </si>
  <si>
    <t>2001-10-29T03:31:06.650Z</t>
  </si>
  <si>
    <t>usp000arun</t>
  </si>
  <si>
    <t>2014-11-07T01:14:04.616Z</t>
  </si>
  <si>
    <t>164 km E of Katabu, Indonesia</t>
  </si>
  <si>
    <t>2001-11-08T06:53:05.970Z</t>
  </si>
  <si>
    <t>usp000asfe</t>
  </si>
  <si>
    <t>2014-11-07T01:14:13.032Z</t>
  </si>
  <si>
    <t>205 km SE of Katabu, Indonesia</t>
  </si>
  <si>
    <t>2001-11-09T12:22:46.700Z</t>
  </si>
  <si>
    <t>usp000ashv</t>
  </si>
  <si>
    <t>2014-11-07T01:14:13.437Z</t>
  </si>
  <si>
    <t>161 km ENE of Katabu, Indonesia</t>
  </si>
  <si>
    <t>2001-11-11T18:37:00.240Z</t>
  </si>
  <si>
    <t>usp000asps</t>
  </si>
  <si>
    <t>2022-04-29T19:40:48.291Z</t>
  </si>
  <si>
    <t>229 km ESE of Katabu, Indonesia</t>
  </si>
  <si>
    <t>2001-11-22T06:31:23.600Z</t>
  </si>
  <si>
    <t>usp000ata5</t>
  </si>
  <si>
    <t>2014-11-07T01:14:17.405Z</t>
  </si>
  <si>
    <t>139 km E of Katabu, Indonesia</t>
  </si>
  <si>
    <t>2001-12-19T22:16:58.160Z</t>
  </si>
  <si>
    <t>usp000aux5</t>
  </si>
  <si>
    <t>2014-11-07T01:14:30.185Z</t>
  </si>
  <si>
    <t>173 km NW of Maubara, Timor Leste</t>
  </si>
  <si>
    <t>2002-02-07T00:59:07.500Z</t>
  </si>
  <si>
    <t>usp000axy7</t>
  </si>
  <si>
    <t>2014-11-07T01:14:53.173Z</t>
  </si>
  <si>
    <t>165 km E of Katabu, Indonesia</t>
  </si>
  <si>
    <t>2002-03-20T12:09:11.120Z</t>
  </si>
  <si>
    <t>usp000b0q1</t>
  </si>
  <si>
    <t>2014-11-07T01:15:12.443Z</t>
  </si>
  <si>
    <t>174 km E of Katabu, Indonesia</t>
  </si>
  <si>
    <t>2002-03-27T05:18:36.240Z</t>
  </si>
  <si>
    <t>usp000b15a</t>
  </si>
  <si>
    <t>2014-11-07T01:15:14.564Z</t>
  </si>
  <si>
    <t>176 km N of Maubara, Timor Leste</t>
  </si>
  <si>
    <t>2002-04-17T08:48:06.840Z</t>
  </si>
  <si>
    <t>usp000b2k1</t>
  </si>
  <si>
    <t>2014-11-07T01:15:25.920Z</t>
  </si>
  <si>
    <t>163 km NNW of Maumere, Indonesia</t>
  </si>
  <si>
    <t>2002-05-14T04:26:44.090Z</t>
  </si>
  <si>
    <t>usp000b49t</t>
  </si>
  <si>
    <t>2014-11-07T01:15:37.367Z</t>
  </si>
  <si>
    <t>159 km N of Ruteng, Indonesia</t>
  </si>
  <si>
    <t>2002-06-28T07:22:51.620Z</t>
  </si>
  <si>
    <t>usp000b732</t>
  </si>
  <si>
    <t>2014-11-07T01:15:54.582Z</t>
  </si>
  <si>
    <t>220 km NNE of Maumere, Indonesia</t>
  </si>
  <si>
    <t>2002-10-29T14:12:17.330Z</t>
  </si>
  <si>
    <t>usp000bfku</t>
  </si>
  <si>
    <t>2014-11-07T01:16:50.574Z</t>
  </si>
  <si>
    <t>215 km NW of Maubara, Timor Leste</t>
  </si>
  <si>
    <t>2003-01-03T06:22:15.200Z</t>
  </si>
  <si>
    <t>usp000bmzb</t>
  </si>
  <si>
    <t>2014-11-07T01:17:31.669Z</t>
  </si>
  <si>
    <t>143 km E of Katabu, Indonesia</t>
  </si>
  <si>
    <t>2003-03-01T21:41:01.620Z</t>
  </si>
  <si>
    <t>usp000brrq</t>
  </si>
  <si>
    <t>2025-12-19T23:05:14.375Z</t>
  </si>
  <si>
    <t>2003-03-22T04:58:07.820Z</t>
  </si>
  <si>
    <t>usp000bt7h</t>
  </si>
  <si>
    <t>2014-11-07T01:18:07.365Z</t>
  </si>
  <si>
    <t>168 km E of Katabu, Indonesia</t>
  </si>
  <si>
    <t>2003-03-22T06:26:51.260Z</t>
  </si>
  <si>
    <t>usp000bt7n</t>
  </si>
  <si>
    <t>2014-11-07T01:18:07.372Z</t>
  </si>
  <si>
    <t>189 km E of Katabu, Indonesia</t>
  </si>
  <si>
    <t>2003-04-03T01:39:37.750Z</t>
  </si>
  <si>
    <t>usp000bu83</t>
  </si>
  <si>
    <t>2014-11-07T01:18:15.596Z</t>
  </si>
  <si>
    <t>2003-04-14T14:06:35.890Z</t>
  </si>
  <si>
    <t>usp000bv65</t>
  </si>
  <si>
    <t>2014-11-07T01:18:20.566Z</t>
  </si>
  <si>
    <t>81 km SE of Galesong, Indonesia</t>
  </si>
  <si>
    <t>2003-05-01T04:02:05.220Z</t>
  </si>
  <si>
    <t>usp000bwbw</t>
  </si>
  <si>
    <t>2022-05-02T16:31:16.585Z</t>
  </si>
  <si>
    <t>2003-06-09T13:12:51.670Z</t>
  </si>
  <si>
    <t>usp000bzfw</t>
  </si>
  <si>
    <t>2014-11-07T01:18:53.160Z</t>
  </si>
  <si>
    <t>164 km NE of Maumere, Indonesia</t>
  </si>
  <si>
    <t>2003-10-11T17:24:11.120Z</t>
  </si>
  <si>
    <t>usp000ca5q</t>
  </si>
  <si>
    <t>2014-11-07T01:20:11.093Z</t>
  </si>
  <si>
    <t>255 km SE of Katabu, Indonesia</t>
  </si>
  <si>
    <t>2004-01-04T07:46:33.900Z</t>
  </si>
  <si>
    <t>usp000ch2g</t>
  </si>
  <si>
    <t>2014-11-07T01:20:58.966Z</t>
  </si>
  <si>
    <t>209 km NW of Maubara, Timor Leste</t>
  </si>
  <si>
    <t>2004-01-12T16:04:55.490Z</t>
  </si>
  <si>
    <t>usp000chrk</t>
  </si>
  <si>
    <t>2014-11-07T01:21:03.471Z</t>
  </si>
  <si>
    <t>130 km N of Labuan Bajo, Indonesia</t>
  </si>
  <si>
    <t>2004-03-23T22:03:59.510Z</t>
  </si>
  <si>
    <t>usp000cqqj</t>
  </si>
  <si>
    <t>2014-11-07T01:21:46.421Z</t>
  </si>
  <si>
    <t>2004-03-27T10:42:32.920Z</t>
  </si>
  <si>
    <t>usp000cr0s</t>
  </si>
  <si>
    <t>2014-11-07T01:21:47.611Z</t>
  </si>
  <si>
    <t>2004-04-19T20:06:08.810Z</t>
  </si>
  <si>
    <t>usp000csy4</t>
  </si>
  <si>
    <t>2014-11-07T01:22:02.490Z</t>
  </si>
  <si>
    <t>2004-04-28T16:31:40.790Z</t>
  </si>
  <si>
    <t>usp000ctp3</t>
  </si>
  <si>
    <t>2014-11-07T01:22:07.675Z</t>
  </si>
  <si>
    <t>124 km NNW of Likisรก, Timor Leste</t>
  </si>
  <si>
    <t>2004-05-04T12:41:38.830Z</t>
  </si>
  <si>
    <t>usp000cu5a</t>
  </si>
  <si>
    <t>2014-11-07T01:22:14.575Z</t>
  </si>
  <si>
    <t>2004-05-26T00:09:32.170Z</t>
  </si>
  <si>
    <t>usp000cw7q</t>
  </si>
  <si>
    <t>2014-11-07T01:22:24.245Z</t>
  </si>
  <si>
    <t>2004-05-26T01:01:27.760Z</t>
  </si>
  <si>
    <t>usp000cw7u</t>
  </si>
  <si>
    <t>2014-11-07T01:22:24.252Z</t>
  </si>
  <si>
    <t>2004-06-01T22:01:11.620Z</t>
  </si>
  <si>
    <t>usp000cwvn</t>
  </si>
  <si>
    <t>2014-11-07T01:22:30.465Z</t>
  </si>
  <si>
    <t>187 km SSE of Katabu, Indonesia</t>
  </si>
  <si>
    <t>2004-06-02T05:14:46.460Z</t>
  </si>
  <si>
    <t>usp000cwwn</t>
  </si>
  <si>
    <t>2014-11-07T01:22:30.926Z</t>
  </si>
  <si>
    <t>163 km NNE of Labuan Bajo, Indonesia</t>
  </si>
  <si>
    <t>2004-06-23T01:26:01.970Z</t>
  </si>
  <si>
    <t>usp000cyj4</t>
  </si>
  <si>
    <t>2025-12-19T23:13:28.623Z</t>
  </si>
  <si>
    <t>184 km N of Maubara, Timor Leste</t>
  </si>
  <si>
    <t>2004-07-05T07:26:00.660Z</t>
  </si>
  <si>
    <t>usp000czkg</t>
  </si>
  <si>
    <t>2016-11-10T00:39:33.300Z</t>
  </si>
  <si>
    <t>50 km S of Katabu, Indonesia</t>
  </si>
  <si>
    <t>2004-07-18T02:56:05.270Z</t>
  </si>
  <si>
    <t>usp000d0cq</t>
  </si>
  <si>
    <t>2014-11-07T01:22:55.309Z</t>
  </si>
  <si>
    <t>157 km NNW of Maubara, Timor Leste</t>
  </si>
  <si>
    <t>2004-09-26T19:16:17.300Z</t>
  </si>
  <si>
    <t>usp000d53w</t>
  </si>
  <si>
    <t>2014-11-07T01:23:33.740Z</t>
  </si>
  <si>
    <t>124 km NNE of Labuan Bajo, Indonesia</t>
  </si>
  <si>
    <t>2005-02-19T00:04:43.590Z</t>
  </si>
  <si>
    <t>usp000dgfv</t>
  </si>
  <si>
    <t>2022-05-02T17:49:14.146Z</t>
  </si>
  <si>
    <t>81 km SSW of Katabu, Indonesia</t>
  </si>
  <si>
    <t>2005-02-19T00:09:11.710Z</t>
  </si>
  <si>
    <t>usp000dgfw</t>
  </si>
  <si>
    <t>2022-05-02T17:49:15.224Z</t>
  </si>
  <si>
    <t>94 km SSW of Katabu, Indonesia</t>
  </si>
  <si>
    <t>2005-02-19T07:53:07.340Z</t>
  </si>
  <si>
    <t>usp000dggm</t>
  </si>
  <si>
    <t>2014-11-07T01:25:01.326Z</t>
  </si>
  <si>
    <t>76 km SSW of Katabu, Indonesia</t>
  </si>
  <si>
    <t>2005-02-19T14:36:44.120Z</t>
  </si>
  <si>
    <t>usp000dgh9</t>
  </si>
  <si>
    <t>2014-11-07T01:25:01.387Z</t>
  </si>
  <si>
    <t>86 km SSW of Katabu, Indonesia</t>
  </si>
  <si>
    <t>2005-02-24T11:36:03.220Z</t>
  </si>
  <si>
    <t>usp000dgvf</t>
  </si>
  <si>
    <t>2014-11-07T01:25:03.229Z</t>
  </si>
  <si>
    <t>76 km SW of Katabu, Indonesia</t>
  </si>
  <si>
    <t>2005-02-25T03:20:31.600Z</t>
  </si>
  <si>
    <t>usp000dgwy</t>
  </si>
  <si>
    <t>2016-11-10T01:01:54.796Z</t>
  </si>
  <si>
    <t>82 km SSW of Katabu, Indonesia</t>
  </si>
  <si>
    <t>2005-03-01T15:21:07.940Z</t>
  </si>
  <si>
    <t>usp000dh9z</t>
  </si>
  <si>
    <t>2025-12-19T23:23:58.479Z</t>
  </si>
  <si>
    <t>189 km SE of Katabu, Indonesia</t>
  </si>
  <si>
    <t>2005-03-12T13:32:31.500Z</t>
  </si>
  <si>
    <t>usp000dj29</t>
  </si>
  <si>
    <t>2025-12-19T22:38:41.342Z</t>
  </si>
  <si>
    <t>2005-04-22T22:07:46.260Z</t>
  </si>
  <si>
    <t>usp000dp0x</t>
  </si>
  <si>
    <t>2014-11-07T01:25:39.672Z</t>
  </si>
  <si>
    <t>149 km NNE of Maumere, Indonesia</t>
  </si>
  <si>
    <t>2005-05-04T17:44:51.970Z</t>
  </si>
  <si>
    <t>usp000dpx3</t>
  </si>
  <si>
    <t>2014-11-07T01:25:49.136Z</t>
  </si>
  <si>
    <t>2005-07-24T22:21:58.250Z</t>
  </si>
  <si>
    <t>usp000dvug</t>
  </si>
  <si>
    <t>2014-11-07T01:26:33.048Z</t>
  </si>
  <si>
    <t>210 km NNW of Maubara, Timor Leste</t>
  </si>
  <si>
    <t>2005-07-27T01:18:49.760Z</t>
  </si>
  <si>
    <t>usp000dw0t</t>
  </si>
  <si>
    <t>2014-11-07T01:26:34.201Z</t>
  </si>
  <si>
    <t>254 km ESE of Katabu, Indonesia</t>
  </si>
  <si>
    <t>2005-08-02T11:33:53.510Z</t>
  </si>
  <si>
    <t>usp000dwgm</t>
  </si>
  <si>
    <t>2025-12-19T23:15:59.166Z</t>
  </si>
  <si>
    <t>2005-08-07T04:51:34.930Z</t>
  </si>
  <si>
    <t>usp000dwvf</t>
  </si>
  <si>
    <t>2025-12-19T23:16:02.742Z</t>
  </si>
  <si>
    <t>144 km NNW of Labuan Bajo, Indonesia</t>
  </si>
  <si>
    <t>2005-09-29T02:00:28.230Z</t>
  </si>
  <si>
    <t>usp000e0fy</t>
  </si>
  <si>
    <t>2014-11-07T01:27:11.191Z</t>
  </si>
  <si>
    <t>147 km NNE of Ruteng, Indonesia</t>
  </si>
  <si>
    <t>2005-10-23T18:29:22.860Z</t>
  </si>
  <si>
    <t>usp000e2ne</t>
  </si>
  <si>
    <t>2025-12-19T22:39:07.666Z</t>
  </si>
  <si>
    <t>2005-10-24T20:46:26.260Z</t>
  </si>
  <si>
    <t>usp000e2s0</t>
  </si>
  <si>
    <t>2014-11-07T01:27:28.554Z</t>
  </si>
  <si>
    <t>153 km N of Labuan Bajo, Indonesia</t>
  </si>
  <si>
    <t>2005-11-08T01:31:39.320Z</t>
  </si>
  <si>
    <t>usp000e3qg</t>
  </si>
  <si>
    <t>2014-11-07T01:27:36.973Z</t>
  </si>
  <si>
    <t>2006-01-03T03:03:17.630Z</t>
  </si>
  <si>
    <t>usp000e7fv</t>
  </si>
  <si>
    <t>2014-11-07T01:28:02.929Z</t>
  </si>
  <si>
    <t>167 km S of Katabu, Indonesia</t>
  </si>
  <si>
    <t>2006-01-18T14:03:24.610Z</t>
  </si>
  <si>
    <t>usp000e8eg</t>
  </si>
  <si>
    <t>2025-12-22T16:14:45.018Z</t>
  </si>
  <si>
    <t>163 km NNE of Maumere, Indonesia</t>
  </si>
  <si>
    <t>2006-02-26T19:27:27.210Z</t>
  </si>
  <si>
    <t>usp000eaxm</t>
  </si>
  <si>
    <t>2025-12-22T16:15:13.589Z</t>
  </si>
  <si>
    <t>178 km N of Likisรก, Timor Leste</t>
  </si>
  <si>
    <t>2006-03-17T13:07:20.570Z</t>
  </si>
  <si>
    <t>usp000ecbk</t>
  </si>
  <si>
    <t>2022-07-14T12:12:57.613Z</t>
  </si>
  <si>
    <t>127 km NNW of Likisรก, Timor Leste</t>
  </si>
  <si>
    <t>2006-03-17T14:21:35.040Z</t>
  </si>
  <si>
    <t>usp000ecbq</t>
  </si>
  <si>
    <t>2022-05-02T15:26:49.429Z</t>
  </si>
  <si>
    <t>68 km ESE of Katabu, Indonesia</t>
  </si>
  <si>
    <t>2006-04-09T07:50:08.900Z</t>
  </si>
  <si>
    <t>usp000ee0h</t>
  </si>
  <si>
    <t>2014-11-07T01:28:44.783Z</t>
  </si>
  <si>
    <t>89 km E of Katabu, Indonesia</t>
  </si>
  <si>
    <t>2006-06-09T22:53:33.780Z</t>
  </si>
  <si>
    <t>usp000ek1b</t>
  </si>
  <si>
    <t>2014-11-07T01:29:20.791Z</t>
  </si>
  <si>
    <t>195 km NE of Maumere, Indonesia</t>
  </si>
  <si>
    <t>2006-07-17T20:40:36.260Z</t>
  </si>
  <si>
    <t>usp000enwg</t>
  </si>
  <si>
    <t>2014-11-07T01:29:42.201Z</t>
  </si>
  <si>
    <t>160 km NNW of Likisรก, Timor Leste</t>
  </si>
  <si>
    <t>2006-08-20T11:10:11.760Z</t>
  </si>
  <si>
    <t>usp000erce</t>
  </si>
  <si>
    <t>2014-11-07T01:30:00.137Z</t>
  </si>
  <si>
    <t>119 km N of Likisรก, Timor Leste</t>
  </si>
  <si>
    <t>2006-09-09T04:13:12.060Z</t>
  </si>
  <si>
    <t>usp000esrb</t>
  </si>
  <si>
    <t>2022-07-14T10:05:29.465Z</t>
  </si>
  <si>
    <t>143 km N of Labuan Bajo, Indonesia</t>
  </si>
  <si>
    <t>2006-10-12T18:27:41.600Z</t>
  </si>
  <si>
    <t>usp000ev1a</t>
  </si>
  <si>
    <t>2014-11-07T01:30:33.304Z</t>
  </si>
  <si>
    <t>2006-11-01T19:13:57.840Z</t>
  </si>
  <si>
    <t>usp000ewea</t>
  </si>
  <si>
    <t>2014-11-07T01:30:42.353Z</t>
  </si>
  <si>
    <t>2006-11-13T09:49:06.640Z</t>
  </si>
  <si>
    <t>usp000ex9q</t>
  </si>
  <si>
    <t>2014-11-07T01:30:48.667Z</t>
  </si>
  <si>
    <t>183 km NE of Maumere, Indonesia</t>
  </si>
  <si>
    <t>2007-02-14T15:59:17.870Z</t>
  </si>
  <si>
    <t>usp000f4vm</t>
  </si>
  <si>
    <t>2014-11-07T01:31:37.753Z</t>
  </si>
  <si>
    <t>156 km SSW of Katabu, Indonesia</t>
  </si>
  <si>
    <t>2007-03-07T20:45:38.470Z</t>
  </si>
  <si>
    <t>usp000f69r</t>
  </si>
  <si>
    <t>2014-11-07T01:31:49.830Z</t>
  </si>
  <si>
    <t>121 km ESE of Katabu, Indonesia</t>
  </si>
  <si>
    <t>2007-03-23T07:51:53.660Z</t>
  </si>
  <si>
    <t>usp000f77g</t>
  </si>
  <si>
    <t>2014-11-07T01:31:54.873Z</t>
  </si>
  <si>
    <t>173 km NNE of Ruteng, Indonesia</t>
  </si>
  <si>
    <t>2007-05-26T04:20:58.260Z</t>
  </si>
  <si>
    <t>usp000fcrz</t>
  </si>
  <si>
    <t>2014-11-07T01:32:31.914Z</t>
  </si>
  <si>
    <t>161 km NNE of Labuan Bajo, Indonesia</t>
  </si>
  <si>
    <t>2007-07-13T02:09:04.420Z</t>
  </si>
  <si>
    <t>usp000fg2c</t>
  </si>
  <si>
    <t>2014-11-07T01:32:57.100Z</t>
  </si>
  <si>
    <t>167 km NNW of Maubara, Timor Leste</t>
  </si>
  <si>
    <t>2007-08-11T06:05:32.220Z</t>
  </si>
  <si>
    <t>usp000fjd4</t>
  </si>
  <si>
    <t>2014-11-07T01:33:14.239Z</t>
  </si>
  <si>
    <t>2007-09-10T03:46:07.370Z</t>
  </si>
  <si>
    <t>usp000fmtq</t>
  </si>
  <si>
    <t>2014-11-07T01:33:32.376Z</t>
  </si>
  <si>
    <t>294 km E of Katabu, Indonesia</t>
  </si>
  <si>
    <t>2007-09-16T07:00:56.630Z</t>
  </si>
  <si>
    <t>usp000fne3</t>
  </si>
  <si>
    <t>2014-11-07T01:33:35.882Z</t>
  </si>
  <si>
    <t>184 km E of Katabu, Indonesia</t>
  </si>
  <si>
    <t>2008-01-02T20:04:12.650Z</t>
  </si>
  <si>
    <t>usp000fvvk</t>
  </si>
  <si>
    <t>2014-11-07T01:34:35.809Z</t>
  </si>
  <si>
    <t>176 km N of Likisรก, Timor Leste</t>
  </si>
  <si>
    <t>2008-01-03T11:15:48.510Z</t>
  </si>
  <si>
    <t>usp000fvwm</t>
  </si>
  <si>
    <t>2022-05-02T20:56:18.585Z</t>
  </si>
  <si>
    <t>110 km S of Katabu, Indonesia</t>
  </si>
  <si>
    <t>gcmt</t>
  </si>
  <si>
    <t>2008-04-27T00:55:26.940Z</t>
  </si>
  <si>
    <t>usp000g4y3</t>
  </si>
  <si>
    <t>2014-11-07T01:35:44.175Z</t>
  </si>
  <si>
    <t>166 km NNW of Dili, Timor Leste</t>
  </si>
  <si>
    <t>2008-05-05T05:55:19.260Z</t>
  </si>
  <si>
    <t>usp000g5ht</t>
  </si>
  <si>
    <t>2014-11-07T01:35:51.358Z</t>
  </si>
  <si>
    <t>122 km NNW of Labuan Bajo, Indonesia</t>
  </si>
  <si>
    <t>2008-07-16T22:25:52.850Z</t>
  </si>
  <si>
    <t>usp000gcc6</t>
  </si>
  <si>
    <t>2014-11-07T01:36:38.965Z</t>
  </si>
  <si>
    <t>2008-07-27T11:25:40.730Z</t>
  </si>
  <si>
    <t>usp000gd8h</t>
  </si>
  <si>
    <t>2014-11-07T01:36:43.396Z</t>
  </si>
  <si>
    <t>2008-08-15T05:06:11.600Z</t>
  </si>
  <si>
    <t>usp000geqe</t>
  </si>
  <si>
    <t>2014-11-07T01:36:54.195Z</t>
  </si>
  <si>
    <t>164 km NNE of Ruteng, Indonesia</t>
  </si>
  <si>
    <t>2008-10-12T09:13:46.710Z</t>
  </si>
  <si>
    <t>usp000gk2b</t>
  </si>
  <si>
    <t>2014-11-07T01:37:27.815Z</t>
  </si>
  <si>
    <t>159 km NNW of Maubara, Timor Leste</t>
  </si>
  <si>
    <t>2008-12-06T10:55:26.350Z</t>
  </si>
  <si>
    <t>usp000gq1h</t>
  </si>
  <si>
    <t>2022-05-02T19:49:31.711Z</t>
  </si>
  <si>
    <t>144 km NNW of Maubara, Timor Leste</t>
  </si>
  <si>
    <t>2008-12-17T00:53:47.260Z</t>
  </si>
  <si>
    <t>usp000gqrq</t>
  </si>
  <si>
    <t>2014-11-07T01:37:58.767Z</t>
  </si>
  <si>
    <t>136 km N of Labuan Bajo, Indonesia</t>
  </si>
  <si>
    <t>2008-12-22T16:25:02.430Z</t>
  </si>
  <si>
    <t>usp000gr6w</t>
  </si>
  <si>
    <t>2014-11-07T01:38:01.260Z</t>
  </si>
  <si>
    <t>160 km NNE of Ruteng, Indonesia</t>
  </si>
  <si>
    <t>2009-02-06T09:59:45.060Z</t>
  </si>
  <si>
    <t>usp000gtgn</t>
  </si>
  <si>
    <t>2014-11-07T01:38:20.677Z</t>
  </si>
  <si>
    <t>217 km NNE of Maumere, Indonesia</t>
  </si>
  <si>
    <t>2009-02-19T09:03:21.420Z</t>
  </si>
  <si>
    <t>usp000gu6a</t>
  </si>
  <si>
    <t>2025-12-22T15:12:19.490Z</t>
  </si>
  <si>
    <t>136 km N of Ruteng, Indonesia</t>
  </si>
  <si>
    <t>2009-03-02T22:36:29.420Z</t>
  </si>
  <si>
    <t>usp000gujj</t>
  </si>
  <si>
    <t>2014-11-07T01:38:31.563Z</t>
  </si>
  <si>
    <t>169 km N of Likisรก, Timor Leste</t>
  </si>
  <si>
    <t>2009-03-23T11:01:32.430Z</t>
  </si>
  <si>
    <t>usp000gvbg</t>
  </si>
  <si>
    <t>2014-11-07T01:38:37.091Z</t>
  </si>
  <si>
    <t>90 km SSE of Katabu, Indonesia</t>
  </si>
  <si>
    <t>2009-04-04T03:47:10.700Z</t>
  </si>
  <si>
    <t>usp000gvqx</t>
  </si>
  <si>
    <t>2014-11-07T01:38:43.398Z</t>
  </si>
  <si>
    <t>124 km S of Katabu, Indonesia</t>
  </si>
  <si>
    <t>2009-04-13T13:36:46.320Z</t>
  </si>
  <si>
    <t>usp000gw3c</t>
  </si>
  <si>
    <t>2022-05-02T22:12:02.954Z</t>
  </si>
  <si>
    <t>197 km N of Likisรก, Timor Leste</t>
  </si>
  <si>
    <t>2009-04-30T00:44:49.390Z</t>
  </si>
  <si>
    <t>usp000gwpp</t>
  </si>
  <si>
    <t>2014-11-07T01:38:50.949Z</t>
  </si>
  <si>
    <t>138 km NNE of Labuan Bajo, Indonesia</t>
  </si>
  <si>
    <t>2009-05-04T07:47:05.950Z</t>
  </si>
  <si>
    <t>usp000gwtu</t>
  </si>
  <si>
    <t>2014-11-07T01:38:54.873Z</t>
  </si>
  <si>
    <t>114 km N of Labuan Bajo, Indonesia</t>
  </si>
  <si>
    <t>2009-06-15T14:27:21.050Z</t>
  </si>
  <si>
    <t>usp000gy84</t>
  </si>
  <si>
    <t>2014-11-07T01:39:09.889Z</t>
  </si>
  <si>
    <t>196 km NW of Maubara, Timor Leste</t>
  </si>
  <si>
    <t>2009-08-28T01:51:20.400Z</t>
  </si>
  <si>
    <t>usp000h0y7</t>
  </si>
  <si>
    <t>2022-07-15T16:41:38.096Z</t>
  </si>
  <si>
    <t>211 km NE of Maumere, Indonesia</t>
  </si>
  <si>
    <t>2009-09-27T22:22:57.880Z</t>
  </si>
  <si>
    <t>usp000h1x6</t>
  </si>
  <si>
    <t>2014-11-07T01:39:45.204Z</t>
  </si>
  <si>
    <t>195 km SE of Katabu, Indonesia</t>
  </si>
  <si>
    <t>2009-10-19T22:18:16.480Z</t>
  </si>
  <si>
    <t>usp000h368</t>
  </si>
  <si>
    <t>2025-12-22T15:41:27.417Z</t>
  </si>
  <si>
    <t>236 km NW of Maubara, Timor Leste</t>
  </si>
  <si>
    <t>2009-11-07T10:42:50.670Z</t>
  </si>
  <si>
    <t>usp000h3u4</t>
  </si>
  <si>
    <t>2014-11-07T01:40:05.042Z</t>
  </si>
  <si>
    <t>161 km NW of Maubara, Timor Leste</t>
  </si>
  <si>
    <t>2010-01-04T21:28:31.310Z</t>
  </si>
  <si>
    <t>usp000h5qw</t>
  </si>
  <si>
    <t>2014-11-07T01:40:25.022Z</t>
  </si>
  <si>
    <t>2010-01-27T19:00:33.080Z</t>
  </si>
  <si>
    <t>usp000h6pn</t>
  </si>
  <si>
    <t>2014-11-07T01:40:34.724Z</t>
  </si>
  <si>
    <t>161 km NNW of Likisรก, Timor Leste</t>
  </si>
  <si>
    <t>2010-03-06T20:47:30.030Z</t>
  </si>
  <si>
    <t>usp000h8uy</t>
  </si>
  <si>
    <t>2014-11-07T01:40:56.734Z</t>
  </si>
  <si>
    <t>110 km SE of Katabu, Indonesia</t>
  </si>
  <si>
    <t>2010-03-28T21:13:45.550Z</t>
  </si>
  <si>
    <t>usp000ha38</t>
  </si>
  <si>
    <t>2014-11-07T01:41:06.238Z</t>
  </si>
  <si>
    <t>78 km SSE of Katabu, Indonesia</t>
  </si>
  <si>
    <t>2010-05-17T09:51:20.600Z</t>
  </si>
  <si>
    <t>usp000hcvb</t>
  </si>
  <si>
    <t>2014-11-07T01:41:29.961Z</t>
  </si>
  <si>
    <t>2010-05-20T13:36:34.880Z</t>
  </si>
  <si>
    <t>usp000hczc</t>
  </si>
  <si>
    <t>2014-11-07T01:41:30.721Z</t>
  </si>
  <si>
    <t>152 km NNE of Bima, Indonesia</t>
  </si>
  <si>
    <t>2010-05-30T02:19:55.850Z</t>
  </si>
  <si>
    <t>usp000hdcj</t>
  </si>
  <si>
    <t>2014-11-07T01:41:34.112Z</t>
  </si>
  <si>
    <t>108 km ESE of Katabu, Indonesia</t>
  </si>
  <si>
    <t>2010-09-24T20:13:49.080Z</t>
  </si>
  <si>
    <t>usp000hm4m</t>
  </si>
  <si>
    <t>2014-11-07T01:42:30.562Z</t>
  </si>
  <si>
    <t>157 km NNW of Likisรก, Timor Leste</t>
  </si>
  <si>
    <t>2010-09-29T20:08:10.730Z</t>
  </si>
  <si>
    <t>usp000hmc4</t>
  </si>
  <si>
    <t>2014-11-07T01:42:31.906Z</t>
  </si>
  <si>
    <t>191 km NNE of Maumere, Indonesia</t>
  </si>
  <si>
    <t>2010-11-18T17:08:04.920Z</t>
  </si>
  <si>
    <t>usp000hpud</t>
  </si>
  <si>
    <t>2016-11-10T02:36:23.655Z</t>
  </si>
  <si>
    <t>132 km SSW of Katabu, Indonesia</t>
  </si>
  <si>
    <t>2010-11-21T17:25:35.770Z</t>
  </si>
  <si>
    <t>usp000hpxx</t>
  </si>
  <si>
    <t>2014-11-07T01:42:56.952Z</t>
  </si>
  <si>
    <t>53 km ESE of Katabu, Indonesia</t>
  </si>
  <si>
    <t>2010-12-09T04:04:06.540Z</t>
  </si>
  <si>
    <t>usp000hqq9</t>
  </si>
  <si>
    <t>2014-11-07T01:43:05.795Z</t>
  </si>
  <si>
    <t>161 km N of Likisรก, Timor Leste</t>
  </si>
  <si>
    <t>2011-03-14T09:21:03.710Z</t>
  </si>
  <si>
    <t>usp000hx4k</t>
  </si>
  <si>
    <t>2014-11-07T01:44:08.085Z</t>
  </si>
  <si>
    <t>2011-04-24T23:07:51.490Z</t>
  </si>
  <si>
    <t>mww</t>
  </si>
  <si>
    <t>usp000j0hc</t>
  </si>
  <si>
    <t>2022-07-19T13:21:44.050Z</t>
  </si>
  <si>
    <t>47 km NE of Katabu, Indonesia</t>
  </si>
  <si>
    <t>2011-05-19T06:33:11.750Z</t>
  </si>
  <si>
    <t>usp000j1tu</t>
  </si>
  <si>
    <t>2025-12-22T16:02:24.160Z</t>
  </si>
  <si>
    <t>2011-08-30T20:17:34.220Z</t>
  </si>
  <si>
    <t>usp000j79d</t>
  </si>
  <si>
    <t>2014-11-07T01:45:44.911Z</t>
  </si>
  <si>
    <t>179 km N of Likisรก, Timor Leste</t>
  </si>
  <si>
    <t>2011-09-26T03:39:24.230Z</t>
  </si>
  <si>
    <t>usp000j8jy</t>
  </si>
  <si>
    <t>2025-12-22T16:07:26.145Z</t>
  </si>
  <si>
    <t>170 km NE of Maumere, Indonesia</t>
  </si>
  <si>
    <t>2012-01-11T22:21:33.990Z</t>
  </si>
  <si>
    <t>usp000jdc8</t>
  </si>
  <si>
    <t>2025-12-22T16:11:19.858Z</t>
  </si>
  <si>
    <t>236 km NE of Maumere, Indonesia</t>
  </si>
  <si>
    <t>2012-02-13T14:47:04.240Z</t>
  </si>
  <si>
    <t>usp000jewc</t>
  </si>
  <si>
    <t>2014-11-07T01:47:00.846Z</t>
  </si>
  <si>
    <t>257 km SE of Katabu, Indonesia</t>
  </si>
  <si>
    <t>2012-03-17T01:49:28.500Z</t>
  </si>
  <si>
    <t>usp000jgcb</t>
  </si>
  <si>
    <t>2014-11-07T01:47:16.004Z</t>
  </si>
  <si>
    <t>221 km NE of Maumere, Indonesia</t>
  </si>
  <si>
    <t>2012-03-30T17:39:55.460Z</t>
  </si>
  <si>
    <t>usp000jh0b</t>
  </si>
  <si>
    <t>2014-11-07T01:47:20.634Z</t>
  </si>
  <si>
    <t>2012-08-23T17:21:35.820Z</t>
  </si>
  <si>
    <t>usp000jqn8</t>
  </si>
  <si>
    <t>2014-11-07T01:48:36.723Z</t>
  </si>
  <si>
    <t>2012-09-13T12:29:17.310Z</t>
  </si>
  <si>
    <t>usp000js91</t>
  </si>
  <si>
    <t>2014-11-07T01:48:51.244Z</t>
  </si>
  <si>
    <t>172 km SE of Katabu, Indonesia</t>
  </si>
  <si>
    <t>2012-09-29T16:25:41.890Z</t>
  </si>
  <si>
    <t>usp000jt8g</t>
  </si>
  <si>
    <t>2014-11-07T01:48:56.589Z</t>
  </si>
  <si>
    <t>206 km NNW of Maubara, Timor Leste</t>
  </si>
  <si>
    <t>2012-10-07T11:34:14.240Z</t>
  </si>
  <si>
    <t>usp000jtpj</t>
  </si>
  <si>
    <t>2014-11-07T01:49:03.535Z</t>
  </si>
  <si>
    <t>134 km NNW of Maubara, Timor Leste</t>
  </si>
  <si>
    <t>2012-12-18T08:27:06.960Z</t>
  </si>
  <si>
    <t>usp000jx3r</t>
  </si>
  <si>
    <t>2014-11-07T01:49:37.558Z</t>
  </si>
  <si>
    <t>134 km SSE of Sinjai, Indonesia</t>
  </si>
  <si>
    <t>2012-12-22T11:07:18.670Z</t>
  </si>
  <si>
    <t>usp000jx92</t>
  </si>
  <si>
    <t>2014-11-07T01:49:38.600Z</t>
  </si>
  <si>
    <t>298 km E of Katabu, Indonesia</t>
  </si>
  <si>
    <t>2013-02-14T18:57:23.880Z</t>
  </si>
  <si>
    <t>usc000f7dh</t>
  </si>
  <si>
    <t>2014-11-07T01:50:07.794Z</t>
  </si>
  <si>
    <t>2013-07-06T11:36:26.500Z</t>
  </si>
  <si>
    <t>usb000i7qu</t>
  </si>
  <si>
    <t>2014-11-07T01:51:13.943Z</t>
  </si>
  <si>
    <t>173 km N of Likisรก, Timor Leste</t>
  </si>
  <si>
    <t>2013-08-01T07:25:37.870Z</t>
  </si>
  <si>
    <t>usb000it58</t>
  </si>
  <si>
    <t>2013-09-25T17:45:49.000Z</t>
  </si>
  <si>
    <t>2013-09-21T01:39:15.570Z</t>
  </si>
  <si>
    <t>usb000jx0m</t>
  </si>
  <si>
    <t>2022-05-03T17:51:14.834Z</t>
  </si>
  <si>
    <t>129 km N of Labuan Bajo, Indonesia</t>
  </si>
  <si>
    <t>2013-09-21T01:43:53.710Z</t>
  </si>
  <si>
    <t>usb000k0s4</t>
  </si>
  <si>
    <t>2013-12-09T21:11:10.000Z</t>
  </si>
  <si>
    <t>2013-09-29T00:35:52.910Z</t>
  </si>
  <si>
    <t>usb000k1wa</t>
  </si>
  <si>
    <t>2013-12-13T09:00:36.000Z</t>
  </si>
  <si>
    <t>180 km ENE of Katabu, Indonesia</t>
  </si>
  <si>
    <t>2013-10-02T02:53:03.990Z</t>
  </si>
  <si>
    <t>usb000k4b1</t>
  </si>
  <si>
    <t>2013-12-19T02:51:32.000Z</t>
  </si>
  <si>
    <t>167 km ENE of Katabu, Indonesia</t>
  </si>
  <si>
    <t>2013-10-14T09:22:16.030Z</t>
  </si>
  <si>
    <t>usb000kcri</t>
  </si>
  <si>
    <t>2013-12-24T01:43:01.000Z</t>
  </si>
  <si>
    <t>2013-10-31T19:35:38.630Z</t>
  </si>
  <si>
    <t>usb000kydn</t>
  </si>
  <si>
    <t>2014-01-10T10:03:39.000Z</t>
  </si>
  <si>
    <t>Kepulauan Barat Daya, Indonesia</t>
  </si>
  <si>
    <t>2013-11-03T01:54:32.950Z</t>
  </si>
  <si>
    <t>usb000kru4</t>
  </si>
  <si>
    <t>2014-01-10T10:03:44.000Z</t>
  </si>
  <si>
    <t>166 km NNE of Ruteng, Indonesia</t>
  </si>
  <si>
    <t>2013-12-08T11:43:15.020Z</t>
  </si>
  <si>
    <t>usb000ldq2</t>
  </si>
  <si>
    <t>2025-12-22T16:45:33.391Z</t>
  </si>
  <si>
    <t>167 km NE of Maumere, Indonesia</t>
  </si>
  <si>
    <t>2014-01-23T00:52:15.320Z</t>
  </si>
  <si>
    <t>usb000m6hr</t>
  </si>
  <si>
    <t>2022-05-03T16:38:38.077Z</t>
  </si>
  <si>
    <t>160 km NNE of Labuan Bajo, Indonesia</t>
  </si>
  <si>
    <t>2014-04-07T22:19:06.940Z</t>
  </si>
  <si>
    <t>usc000p9z2</t>
  </si>
  <si>
    <t>2014-06-11T06:06:12.000Z</t>
  </si>
  <si>
    <t>2014-04-29T17:11:02.340Z</t>
  </si>
  <si>
    <t>usb000qwck</t>
  </si>
  <si>
    <t>2014-07-14T20:11:23.000Z</t>
  </si>
  <si>
    <t>200 km N of Likisรก, Timor Leste</t>
  </si>
  <si>
    <t>2014-05-06T12:58:50.030Z</t>
  </si>
  <si>
    <t>usb000qbyl</t>
  </si>
  <si>
    <t>2014-07-27T21:51:25.000Z</t>
  </si>
  <si>
    <t>175 km NNW of Maubara, Timor Leste</t>
  </si>
  <si>
    <t>2014-06-29T09:59:54.200Z</t>
  </si>
  <si>
    <t>usb000rvnp</t>
  </si>
  <si>
    <t>2014-09-26T11:49:46.000Z</t>
  </si>
  <si>
    <t>2014-07-07T09:15:28.430Z</t>
  </si>
  <si>
    <t>usc000rr4d</t>
  </si>
  <si>
    <t>2025-12-22T16:57:14.231Z</t>
  </si>
  <si>
    <t>219 km NW of Maubara, Timor Leste</t>
  </si>
  <si>
    <t>2014-08-16T08:30:10.110Z</t>
  </si>
  <si>
    <t>usb000s3b5</t>
  </si>
  <si>
    <t>2014-11-15T04:07:10.000Z</t>
  </si>
  <si>
    <t>175 km N of Likisรก, Timor Leste</t>
  </si>
  <si>
    <t>2014-10-07T19:13:42.920Z</t>
  </si>
  <si>
    <t>usb000sk0r</t>
  </si>
  <si>
    <t>2014-12-23T01:42:07.040Z</t>
  </si>
  <si>
    <t>171 km N of Maubara, Timor Leste</t>
  </si>
  <si>
    <t>2014-10-12T11:00:24.820Z</t>
  </si>
  <si>
    <t>usb000sqc0</t>
  </si>
  <si>
    <t>2015-01-06T23:49:53.040Z</t>
  </si>
  <si>
    <t>139 km N of Ruteng, Indonesia</t>
  </si>
  <si>
    <t>2014-11-03T10:02:48.250Z</t>
  </si>
  <si>
    <t>usc000stmr</t>
  </si>
  <si>
    <t>2015-01-20T09:03:14.040Z</t>
  </si>
  <si>
    <t>250 km NNW of Maubara, Timor Leste</t>
  </si>
  <si>
    <t>2014-11-14T16:58:59.400Z</t>
  </si>
  <si>
    <t>usc000sxcj</t>
  </si>
  <si>
    <t>2015-02-12T01:42:41.040Z</t>
  </si>
  <si>
    <t>113 km N of Labuan Bajo, Indonesia</t>
  </si>
  <si>
    <t>2014-11-17T19:06:31.250Z</t>
  </si>
  <si>
    <t>usc000sy78</t>
  </si>
  <si>
    <t>2015-02-12T01:42:55.040Z</t>
  </si>
  <si>
    <t>166 km NNE of Labuan Bajo, Indonesia</t>
  </si>
  <si>
    <t>2014-12-23T15:40:23.920Z</t>
  </si>
  <si>
    <t>usc000t9fj</t>
  </si>
  <si>
    <t>2015-03-06T02:59:12.040Z</t>
  </si>
  <si>
    <t>2015-02-14T19:41:07.270Z</t>
  </si>
  <si>
    <t>usb000tpdz</t>
  </si>
  <si>
    <t>2015-05-11T23:20:15.040Z</t>
  </si>
  <si>
    <t>2015-02-27T13:45:05.370Z</t>
  </si>
  <si>
    <t>usc000ttkd</t>
  </si>
  <si>
    <t>2022-07-27T23:24:17.079Z</t>
  </si>
  <si>
    <t>150 km NNE of Maumere, Indonesia</t>
  </si>
  <si>
    <t>2015-02-27T15:27:56.700Z</t>
  </si>
  <si>
    <t>usc000ttms</t>
  </si>
  <si>
    <t>2015-05-19T00:28:57.040Z</t>
  </si>
  <si>
    <t>131 km NNE of Maumere, Indonesia</t>
  </si>
  <si>
    <t>2015-04-24T17:01:40.060Z</t>
  </si>
  <si>
    <t>us200028wp</t>
  </si>
  <si>
    <t>2015-07-03T00:23:38.040Z</t>
  </si>
  <si>
    <t>2015-05-26T20:56:23.200Z</t>
  </si>
  <si>
    <t>us10002cak</t>
  </si>
  <si>
    <t>2015-07-29T01:35:46.040Z</t>
  </si>
  <si>
    <t>2015-07-02T07:04:31.780Z</t>
  </si>
  <si>
    <t>us10002mzb</t>
  </si>
  <si>
    <t>2025-12-22T17:08:59.472Z</t>
  </si>
  <si>
    <t>121 km NNE of Labuan Bajo, Indonesia</t>
  </si>
  <si>
    <t>2015-07-10T20:15:30.700Z</t>
  </si>
  <si>
    <t>us200031c0</t>
  </si>
  <si>
    <t>2015-10-09T20:19:11.040Z</t>
  </si>
  <si>
    <t>150 km NNW of Maubara, Timor Leste</t>
  </si>
  <si>
    <t>2015-08-24T01:59:02.680Z</t>
  </si>
  <si>
    <t>us100034e7</t>
  </si>
  <si>
    <t>2015-11-24T02:09:31.040Z</t>
  </si>
  <si>
    <t>220 km NE of Maumere, Indonesia</t>
  </si>
  <si>
    <t>2015-12-22T13:50:05.430Z</t>
  </si>
  <si>
    <t>us100048st</t>
  </si>
  <si>
    <t>2016-03-12T02:29:21.040Z</t>
  </si>
  <si>
    <t>45 km WNW of Galesong, Indonesia</t>
  </si>
  <si>
    <t>2016-05-13T03:36:15.600Z</t>
  </si>
  <si>
    <t>us10005h01</t>
  </si>
  <si>
    <t>2016-07-22T19:39:04.040Z</t>
  </si>
  <si>
    <t>2016-05-20T03:03:55.570Z</t>
  </si>
  <si>
    <t>us10005iq4</t>
  </si>
  <si>
    <t>2016-08-03T22:33:38.040Z</t>
  </si>
  <si>
    <t>2016-05-23T21:14:00.760Z</t>
  </si>
  <si>
    <t>us10005jep</t>
  </si>
  <si>
    <t>2016-08-03T22:33:43.040Z</t>
  </si>
  <si>
    <t>2016-07-06T15:29:00.970Z</t>
  </si>
  <si>
    <t>us100061b9</t>
  </si>
  <si>
    <t>2016-09-02T21:36:40.040Z</t>
  </si>
  <si>
    <t>118 km N of Labuan Bajo, Indonesia</t>
  </si>
  <si>
    <t>2016-08-03T19:14:38.260Z</t>
  </si>
  <si>
    <t>us100069vv</t>
  </si>
  <si>
    <t>2016-10-19T04:52:21.040Z</t>
  </si>
  <si>
    <t>137 km S of Katabu, Indonesia</t>
  </si>
  <si>
    <t>2016-08-23T19:39:44.580Z</t>
  </si>
  <si>
    <t>us10006g2n</t>
  </si>
  <si>
    <t>2022-05-03T17:57:47.651Z</t>
  </si>
  <si>
    <t>2016-08-23T19:40:46.660Z</t>
  </si>
  <si>
    <t>us10006gj0</t>
  </si>
  <si>
    <t>2022-05-03T19:43:18.099Z</t>
  </si>
  <si>
    <t>159 km NNE of Maumere, Indonesia</t>
  </si>
  <si>
    <t>2016-08-29T20:07:36.340Z</t>
  </si>
  <si>
    <t>us10006jlp</t>
  </si>
  <si>
    <t>2016-11-29T01:28:45.040Z</t>
  </si>
  <si>
    <t>183 km NNE of Maumere, Indonesia</t>
  </si>
  <si>
    <t>2016-12-05T01:13:04.880Z</t>
  </si>
  <si>
    <t>us10007ev8</t>
  </si>
  <si>
    <t>2022-05-03T19:28:27.785Z</t>
  </si>
  <si>
    <t>193 km NE of Maumere, Indonesia</t>
  </si>
  <si>
    <t>2017-02-01T16:48:42.290Z</t>
  </si>
  <si>
    <t>us10007wnl</t>
  </si>
  <si>
    <t>2017-04-27T01:38:41.040Z</t>
  </si>
  <si>
    <t>159 km S of Katabu, Indonesia</t>
  </si>
  <si>
    <t>2017-04-17T00:37:45.500Z</t>
  </si>
  <si>
    <t>us10008i8h</t>
  </si>
  <si>
    <t>2017-07-11T01:48:34.040Z</t>
  </si>
  <si>
    <t>2017-08-09T21:30:16.360Z</t>
  </si>
  <si>
    <t>us2000a6mh</t>
  </si>
  <si>
    <t>2022-05-03T18:35:15.988Z</t>
  </si>
  <si>
    <t>124 km NNW of Maumere, Indonesia</t>
  </si>
  <si>
    <t>2017-10-14T18:45:14.190Z</t>
  </si>
  <si>
    <t>us1000as8f</t>
  </si>
  <si>
    <t>2018-01-09T02:15:00.040Z</t>
  </si>
  <si>
    <t>285 km N of Metinaro, Timor Leste</t>
  </si>
  <si>
    <t>2017-10-24T10:47:47.860Z</t>
  </si>
  <si>
    <t>us1000aw8q</t>
  </si>
  <si>
    <t>2022-05-03T18:39:26.957Z</t>
  </si>
  <si>
    <t>181 km NNE of Maumere, Indonesia</t>
  </si>
  <si>
    <t>2018-04-15T02:37:59.260Z</t>
  </si>
  <si>
    <t>us2000e0gr</t>
  </si>
  <si>
    <t>2018-07-07T02:25:23.040Z</t>
  </si>
  <si>
    <t>2018-04-23T07:37:11.310Z</t>
  </si>
  <si>
    <t>us1000dqj3</t>
  </si>
  <si>
    <t>2022-05-03T19:10:34.471Z</t>
  </si>
  <si>
    <t>197 km SE of Katabu, Indonesia</t>
  </si>
  <si>
    <t>2018-05-13T12:40:06.770Z</t>
  </si>
  <si>
    <t>us1000e43j</t>
  </si>
  <si>
    <t>2018-08-08T15:21:36.040Z</t>
  </si>
  <si>
    <t>275 km N of Likisรก, Timor Leste</t>
  </si>
  <si>
    <t>2018-06-04T18:24:37.570Z</t>
  </si>
  <si>
    <t>us1000eiiy</t>
  </si>
  <si>
    <t>2025-12-22T17:48:17.493Z</t>
  </si>
  <si>
    <t>2018-07-28T17:07:23.380Z</t>
  </si>
  <si>
    <t>us2000gg76</t>
  </si>
  <si>
    <t>2022-05-03T19:27:14.441Z</t>
  </si>
  <si>
    <t>2018-08-13T04:04:26.130Z</t>
  </si>
  <si>
    <t>us1000g7p5</t>
  </si>
  <si>
    <t>2018-10-27T16:22:02.040Z</t>
  </si>
  <si>
    <t>133 km NNE of Maumere, Indonesia</t>
  </si>
  <si>
    <t>2018-08-17T15:35:01.890Z</t>
  </si>
  <si>
    <t>us1000gbi4</t>
  </si>
  <si>
    <t>2022-05-03T20:03:34.899Z</t>
  </si>
  <si>
    <t>124 km N of Labuan Bajo, Indonesia</t>
  </si>
  <si>
    <t>2018-10-16T05:02:29.880Z</t>
  </si>
  <si>
    <t>us1000hcqi</t>
  </si>
  <si>
    <t>2018-12-21T22:27:01.040Z</t>
  </si>
  <si>
    <t>249 km NNW of Maubara, Timor Leste</t>
  </si>
  <si>
    <t>2018-11-06T20:30:18.300Z</t>
  </si>
  <si>
    <t>us2000i7pt</t>
  </si>
  <si>
    <t>2019-01-21T16:42:59.040Z</t>
  </si>
  <si>
    <t>213 km NW of Maubara, Timor Leste</t>
  </si>
  <si>
    <t>2018-12-04T20:49:06.120Z</t>
  </si>
  <si>
    <t>us1000i26p</t>
  </si>
  <si>
    <t>2019-02-16T19:52:19.040Z</t>
  </si>
  <si>
    <t>111 km N of Labuan Bajo, Indonesia</t>
  </si>
  <si>
    <t>2019-02-10T22:54:37.680Z</t>
  </si>
  <si>
    <t>us2000jg44</t>
  </si>
  <si>
    <t>2019-04-25T15:32:06.040Z</t>
  </si>
  <si>
    <t>2019-03-01T23:51:41.960Z</t>
  </si>
  <si>
    <t>us1000j9pj</t>
  </si>
  <si>
    <t>2019-05-14T18:36:16.040Z</t>
  </si>
  <si>
    <t>145 km NNE of Labuan Bajo, Indonesia</t>
  </si>
  <si>
    <t>2019-03-23T05:10:53.044Z</t>
  </si>
  <si>
    <t>us1000jkkm</t>
  </si>
  <si>
    <t>2019-06-06T18:54:18.040Z</t>
  </si>
  <si>
    <t>167 km N of Likisรก, Timor Leste</t>
  </si>
  <si>
    <t>2019-04-06T21:55:01.660Z</t>
  </si>
  <si>
    <t>us2000kbi1</t>
  </si>
  <si>
    <t>2025-12-22T18:07:17.241Z</t>
  </si>
  <si>
    <t>2019-04-06T22:19:30.371Z</t>
  </si>
  <si>
    <t>us2000kbj5</t>
  </si>
  <si>
    <t>2019-06-18T15:50:38.040Z</t>
  </si>
  <si>
    <t>199 km N of Likisรก, Timor Leste</t>
  </si>
  <si>
    <t>2019-04-21T01:10:06.712Z</t>
  </si>
  <si>
    <t>us700039u2</t>
  </si>
  <si>
    <t>2019-06-26T20:55:03.040Z</t>
  </si>
  <si>
    <t>2019-05-14T23:44:40.492Z</t>
  </si>
  <si>
    <t>us60003qmq</t>
  </si>
  <si>
    <t>2019-08-07T22:03:19.040Z</t>
  </si>
  <si>
    <t>150 km NNE of Ruteng, Indonesia</t>
  </si>
  <si>
    <t>2019-05-31T13:55:32.800Z</t>
  </si>
  <si>
    <t>us70003tpb</t>
  </si>
  <si>
    <t>2019-08-24T21:17:40.040Z</t>
  </si>
  <si>
    <t>127 km S of Katabu, Indonesia</t>
  </si>
  <si>
    <t>2019-06-27T05:46:23.333Z</t>
  </si>
  <si>
    <t>us700045sf</t>
  </si>
  <si>
    <t>2019-09-14T16:08:13.040Z</t>
  </si>
  <si>
    <t>256 km N of Likisรก, Timor Leste</t>
  </si>
  <si>
    <t>2019-07-17T22:59:46.629Z</t>
  </si>
  <si>
    <t>us70004mq3</t>
  </si>
  <si>
    <t>2019-10-04T16:37:11.040Z</t>
  </si>
  <si>
    <t>2019-07-26T16:59:04.476Z</t>
  </si>
  <si>
    <t>us60004w1m</t>
  </si>
  <si>
    <t>2019-10-11T20:12:36.040Z</t>
  </si>
  <si>
    <t>143 km NNE of Ruteng, Indonesia</t>
  </si>
  <si>
    <t>2019-08-27T13:00:30.093Z</t>
  </si>
  <si>
    <t>us700058rg</t>
  </si>
  <si>
    <t>2019-11-15T17:18:49.040Z</t>
  </si>
  <si>
    <t>159 km ENE of Katabu, Indonesia</t>
  </si>
  <si>
    <t>2019-09-25T14:39:28.245Z</t>
  </si>
  <si>
    <t>us70005l5b</t>
  </si>
  <si>
    <t>2019-12-20T19:02:33.040Z</t>
  </si>
  <si>
    <t>2019-10-30T22:59:08.376Z</t>
  </si>
  <si>
    <t>us700061ds</t>
  </si>
  <si>
    <t>2020-01-18T20:00:47.040Z</t>
  </si>
  <si>
    <t>125 km N of Labuan Bajo, Indonesia</t>
  </si>
  <si>
    <t>2019-11-23T13:00:13.797Z</t>
  </si>
  <si>
    <t>us70006c7c</t>
  </si>
  <si>
    <t>2020-02-14T22:02:15.040Z</t>
  </si>
  <si>
    <t>120 km NNW of Maubara, Timor Leste</t>
  </si>
  <si>
    <t>2020-01-02T11:25:04.368Z</t>
  </si>
  <si>
    <t>us70006thw</t>
  </si>
  <si>
    <t>2025-12-22T18:25:10.818Z</t>
  </si>
  <si>
    <t>287 km ESE of Katabu, Indonesia</t>
  </si>
  <si>
    <t>2020-02-06T07:22:26.063Z</t>
  </si>
  <si>
    <t>us70007q1f</t>
  </si>
  <si>
    <t>2020-04-25T22:19:35.040Z</t>
  </si>
  <si>
    <t>2020-03-28T23:10:38.495Z</t>
  </si>
  <si>
    <t>us70008hzy</t>
  </si>
  <si>
    <t>2025-12-22T18:31:53.119Z</t>
  </si>
  <si>
    <t>2020-07-07T09:56:10.405Z</t>
  </si>
  <si>
    <t>us7000ajef</t>
  </si>
  <si>
    <t>2020-09-11T22:14:25.040Z</t>
  </si>
  <si>
    <t>178 km N of Maubara, Timor Leste</t>
  </si>
  <si>
    <t>2020-07-14T23:33:58.152Z</t>
  </si>
  <si>
    <t>us7000anpp</t>
  </si>
  <si>
    <t>2025-12-22T18:38:02.853Z</t>
  </si>
  <si>
    <t>155 km N of Ruteng, Indonesia</t>
  </si>
  <si>
    <t>2020-07-28T17:21:55.372Z</t>
  </si>
  <si>
    <t>us6000b5fu</t>
  </si>
  <si>
    <t>2020-10-03T17:32:29.040Z</t>
  </si>
  <si>
    <t>46 km ENE of Katabu, Indonesia</t>
  </si>
  <si>
    <t>2020-08-21T04:09:51.930Z</t>
  </si>
  <si>
    <t>us6000bi4p</t>
  </si>
  <si>
    <t>2025-12-22T18:40:47.008Z</t>
  </si>
  <si>
    <t>222 km SSE of Katabu, Indonesia</t>
  </si>
  <si>
    <t>2020-08-21T04:42:37.724Z</t>
  </si>
  <si>
    <t>us6000bi62</t>
  </si>
  <si>
    <t>2020-10-31T19:06:13.040Z</t>
  </si>
  <si>
    <t>238 km NE of Maumere, Indonesia</t>
  </si>
  <si>
    <t>2020-09-10T03:49:33.300Z</t>
  </si>
  <si>
    <t>us7000bnjr</t>
  </si>
  <si>
    <t>2020-11-21T20:10:44.040Z</t>
  </si>
  <si>
    <t>160 km N of Maubara, Timor Leste</t>
  </si>
  <si>
    <t>2020-09-24T17:42:12.974Z</t>
  </si>
  <si>
    <t>us6000c0p6</t>
  </si>
  <si>
    <t>2020-12-05T21:02:56.040Z</t>
  </si>
  <si>
    <t>156 km N of Likisรก, Timor Leste</t>
  </si>
  <si>
    <t>2020-10-09T02:57:20.747Z</t>
  </si>
  <si>
    <t>us6000c6xe</t>
  </si>
  <si>
    <t>2025-12-22T18:43:34.621Z</t>
  </si>
  <si>
    <t>122 km S of Katabu, Indonesia</t>
  </si>
  <si>
    <t>2020-10-10T09:08:42.943Z</t>
  </si>
  <si>
    <t>us6000c7a8</t>
  </si>
  <si>
    <t>2020-12-19T17:22:43.040Z</t>
  </si>
  <si>
    <t>115 km S of Katabu, Indonesia</t>
  </si>
  <si>
    <t>2020-10-17T20:58:31.858Z</t>
  </si>
  <si>
    <t>us6000c91p</t>
  </si>
  <si>
    <t>2020-12-29T23:07:32.040Z</t>
  </si>
  <si>
    <t>2020-10-31T13:41:44.019Z</t>
  </si>
  <si>
    <t>us7000c8mf</t>
  </si>
  <si>
    <t>2021-01-18T23:01:53.040Z</t>
  </si>
  <si>
    <t>210 km N of Likisรก, Timor Leste</t>
  </si>
  <si>
    <t>2020-11-18T19:07:52.481Z</t>
  </si>
  <si>
    <t>us6000cqur</t>
  </si>
  <si>
    <t>2021-02-03T17:49:23.040Z</t>
  </si>
  <si>
    <t>2021-01-08T16:49:58.059Z</t>
  </si>
  <si>
    <t>us6000d6sh</t>
  </si>
  <si>
    <t>2025-12-22T18:47:53.144Z</t>
  </si>
  <si>
    <t>2021-01-11T01:20:38.218Z</t>
  </si>
  <si>
    <t>us6000d7c5</t>
  </si>
  <si>
    <t>2025-12-22T18:48:06.930Z</t>
  </si>
  <si>
    <t>150 km NNE of Labuan Bajo, Indonesia</t>
  </si>
  <si>
    <t>2021-01-11T01:38:46.798Z</t>
  </si>
  <si>
    <t>us6000d7c6</t>
  </si>
  <si>
    <t>2021-03-20T21:23:54.040Z</t>
  </si>
  <si>
    <t>151 km N of Ruteng, Indonesia</t>
  </si>
  <si>
    <t>2021-01-19T05:01:03.820Z</t>
  </si>
  <si>
    <t>us7000d1a0</t>
  </si>
  <si>
    <t>2021-03-27T21:05:26.040Z</t>
  </si>
  <si>
    <t>137 km N of Likisรก, Timor Leste</t>
  </si>
  <si>
    <t>2021-03-08T07:13:17.431Z</t>
  </si>
  <si>
    <t>us7000dk7x</t>
  </si>
  <si>
    <t>2021-05-21T19:52:19.040Z</t>
  </si>
  <si>
    <t>85 km SE of Sinjai, Indonesia</t>
  </si>
  <si>
    <t>2021-03-08T20:20:10.489Z</t>
  </si>
  <si>
    <t>us7000dh6y</t>
  </si>
  <si>
    <t>2021-05-21T19:48:34.040Z</t>
  </si>
  <si>
    <t>282 km N of Dili, Timor Leste</t>
  </si>
  <si>
    <t>2021-05-20T09:28:42.856Z</t>
  </si>
  <si>
    <t>us7000e4qn</t>
  </si>
  <si>
    <t>2021-07-24T21:08:33.040Z</t>
  </si>
  <si>
    <t>191 km N of Likisรก, Timor Leste</t>
  </si>
  <si>
    <t>2021-06-30T03:04:25.437Z</t>
  </si>
  <si>
    <t>us7000eivg</t>
  </si>
  <si>
    <t>2021-09-09T22:06:49.040Z</t>
  </si>
  <si>
    <t>2021-07-04T01:27:36.359Z</t>
  </si>
  <si>
    <t>us6000et7k</t>
  </si>
  <si>
    <t>2021-09-10T20:06:49.040Z</t>
  </si>
  <si>
    <t>2021-08-25T04:01:11.249Z</t>
  </si>
  <si>
    <t>us7000f3hs</t>
  </si>
  <si>
    <t>2021-11-02T14:55:07.040Z</t>
  </si>
  <si>
    <t>2021-09-11T09:40:12.035Z</t>
  </si>
  <si>
    <t>us7000fa9t</t>
  </si>
  <si>
    <t>2021-11-23T15:09:47.040Z</t>
  </si>
  <si>
    <t>182 km NNW of Likisรก, Timor Leste</t>
  </si>
  <si>
    <t>2021-11-09T02:19:08.209Z</t>
  </si>
  <si>
    <t>us7000fsj4</t>
  </si>
  <si>
    <t>2022-01-15T20:51:42.040Z</t>
  </si>
  <si>
    <t>94 km SE of Katabu, Indonesia</t>
  </si>
  <si>
    <t>2021-12-08T23:44:45.562Z</t>
  </si>
  <si>
    <t>us6000gap9</t>
  </si>
  <si>
    <t>2022-02-12T23:07:04.040Z</t>
  </si>
  <si>
    <t>121 km NNE of Bima, Indonesia</t>
  </si>
  <si>
    <t>2021-12-14T03:47:02.526Z</t>
  </si>
  <si>
    <t>us6000gc3a</t>
  </si>
  <si>
    <t>2022-02-24T21:00:39.040Z</t>
  </si>
  <si>
    <t>145 km NNW of Maumere, Indonesia</t>
  </si>
  <si>
    <t>2021-12-14T05:46:40.534Z</t>
  </si>
  <si>
    <t>us6000gc3y</t>
  </si>
  <si>
    <t>2022-02-24T21:00:42.040Z</t>
  </si>
  <si>
    <t>129 km NNW of Maumere, Indonesia</t>
  </si>
  <si>
    <t>2021-12-14T07:44:06.904Z</t>
  </si>
  <si>
    <t>us6000gd4l</t>
  </si>
  <si>
    <t>2022-02-24T21:02:14.040Z</t>
  </si>
  <si>
    <t>125 km NNW of Maumere, Indonesia</t>
  </si>
  <si>
    <t>2021-12-14T22:01:43.562Z</t>
  </si>
  <si>
    <t>us6000gc9r</t>
  </si>
  <si>
    <t>2022-02-24T21:00:54.040Z</t>
  </si>
  <si>
    <t>137 km NNW of Maumere, Indonesia</t>
  </si>
  <si>
    <t>2021-12-15T03:52:35.026Z</t>
  </si>
  <si>
    <t>us6000gcbr</t>
  </si>
  <si>
    <t>2022-02-24T21:01:00.040Z</t>
  </si>
  <si>
    <t>174 km NNE of Ruteng, Indonesia</t>
  </si>
  <si>
    <t>2021-12-15T09:14:30.931Z</t>
  </si>
  <si>
    <t>us6000gcd2</t>
  </si>
  <si>
    <t>2022-02-24T21:01:04.040Z</t>
  </si>
  <si>
    <t>155 km NNE of Ruteng, Indonesia</t>
  </si>
  <si>
    <t>2021-12-15T22:24:01.676Z</t>
  </si>
  <si>
    <t>us6000gckg</t>
  </si>
  <si>
    <t>2022-02-24T21:01:29.040Z</t>
  </si>
  <si>
    <t>154 km NNE of Ruteng, Indonesia</t>
  </si>
  <si>
    <t>2021-12-18T02:10:42.299Z</t>
  </si>
  <si>
    <t>us6000gdb3</t>
  </si>
  <si>
    <t>2022-03-01T16:37:20.040Z</t>
  </si>
  <si>
    <t>2021-12-18T15:05:01.832Z</t>
  </si>
  <si>
    <t>us6000gek6</t>
  </si>
  <si>
    <t>2022-03-01T16:37:32.040Z</t>
  </si>
  <si>
    <t>183 km NNW of Maumere, Indonesia</t>
  </si>
  <si>
    <t>2021-12-21T05:53:26.190Z</t>
  </si>
  <si>
    <t>us6000ge3l</t>
  </si>
  <si>
    <t>2022-03-01T16:38:47.040Z</t>
  </si>
  <si>
    <t>125 km SSW of Katabu, Indonesia</t>
  </si>
  <si>
    <t>2022-01-04T20:55:46.858Z</t>
  </si>
  <si>
    <t>us7000g90c</t>
  </si>
  <si>
    <t>2022-03-12T22:19:07.040Z</t>
  </si>
  <si>
    <t>284 km E of Katabu, Indonesia</t>
  </si>
  <si>
    <t>2022-01-19T15:53:28.285Z</t>
  </si>
  <si>
    <t>us7000gd5y</t>
  </si>
  <si>
    <t>2022-04-01T17:40:19.040Z</t>
  </si>
  <si>
    <t>173 km ENE of Katabu, Indonesia</t>
  </si>
  <si>
    <t>2022-01-27T13:20:01.274Z</t>
  </si>
  <si>
    <t>us7000gfj7</t>
  </si>
  <si>
    <t>2022-04-09T20:19:10.040Z</t>
  </si>
  <si>
    <t>174 km SSE of Sinjai, Indonesia</t>
  </si>
  <si>
    <t>2022-01-30T21:37:51.062Z</t>
  </si>
  <si>
    <t>us7000ghz4</t>
  </si>
  <si>
    <t>2022-04-15T17:57:21.040Z</t>
  </si>
  <si>
    <t>185 km S of Sinjai, Indonesia</t>
  </si>
  <si>
    <t>2022-02-03T11:37:44.312Z</t>
  </si>
  <si>
    <t>us7000ghl6</t>
  </si>
  <si>
    <t>2022-04-15T17:57:16.040Z</t>
  </si>
  <si>
    <t>114 km NNW of Labuan Bajo, Indonesia</t>
  </si>
  <si>
    <t>2022-02-05T20:49:02.968Z</t>
  </si>
  <si>
    <t>us7000giag</t>
  </si>
  <si>
    <t>2022-04-19T17:38:38.040Z</t>
  </si>
  <si>
    <t>157 km NNE of Ruteng, Indonesia</t>
  </si>
  <si>
    <t>2022-02-05T22:50:28.114Z</t>
  </si>
  <si>
    <t>us7000gibg</t>
  </si>
  <si>
    <t>2022-04-19T17:38:39.040Z</t>
  </si>
  <si>
    <t>2022-03-03T21:19:29.452Z</t>
  </si>
  <si>
    <t>us6000h335</t>
  </si>
  <si>
    <t>2022-05-07T21:32:56.040Z</t>
  </si>
  <si>
    <t>140 km NNW of Maumere, Indonesia</t>
  </si>
  <si>
    <t>2022-03-04T21:53:42.050Z</t>
  </si>
  <si>
    <t>us6000h3cl</t>
  </si>
  <si>
    <t>2022-05-07T21:32:57.040Z</t>
  </si>
  <si>
    <t>146 km NNE of Ruteng, Indonesia</t>
  </si>
  <si>
    <t>2022-04-16T11:45:12.605Z</t>
  </si>
  <si>
    <t>us7000h2nw</t>
  </si>
  <si>
    <t>2022-06-26T01:18:24.040Z</t>
  </si>
  <si>
    <t>2022-04-18T02:42:20.353Z</t>
  </si>
  <si>
    <t>us7000h302</t>
  </si>
  <si>
    <t>2022-06-26T01:19:05.040Z</t>
  </si>
  <si>
    <t>277 km N of Likisรก, Timor Leste</t>
  </si>
  <si>
    <t>2022-04-27T12:36:13.301Z</t>
  </si>
  <si>
    <t>us7000h717</t>
  </si>
  <si>
    <t>2022-07-05T03:41:22.040Z</t>
  </si>
  <si>
    <t>138 km NNW of Maumere, Indonesia</t>
  </si>
  <si>
    <t>2022-04-30T13:04:59.052Z</t>
  </si>
  <si>
    <t>us7000h62q</t>
  </si>
  <si>
    <t>2022-07-09T21:39:43.040Z</t>
  </si>
  <si>
    <t>181 km SSE of Sinjai, Indonesia</t>
  </si>
  <si>
    <t>2022-06-12T22:34:04.175Z</t>
  </si>
  <si>
    <t>us7000hgzp</t>
  </si>
  <si>
    <t>2022-08-21T00:16:37.040Z</t>
  </si>
  <si>
    <t>2022-06-18T02:38:31.475Z</t>
  </si>
  <si>
    <t>us7000hjkq</t>
  </si>
  <si>
    <t>2022-08-28T03:18:16.040Z</t>
  </si>
  <si>
    <t>2022-06-22T05:01:19.152Z</t>
  </si>
  <si>
    <t>us7000hj75</t>
  </si>
  <si>
    <t>2022-08-28T03:20:03.040Z</t>
  </si>
  <si>
    <t>2022-07-10T07:49:43.282Z</t>
  </si>
  <si>
    <t>us6000i1cp</t>
  </si>
  <si>
    <t>2022-09-24T21:26:03.040Z</t>
  </si>
  <si>
    <t>2022-09-13T09:31:44.279Z</t>
  </si>
  <si>
    <t>us7000i7l7</t>
  </si>
  <si>
    <t>2022-11-19T23:02:54.040Z</t>
  </si>
  <si>
    <t>272 km ESE of Katabu, Indonesia</t>
  </si>
  <si>
    <t>2022-09-18T20:05:14.324Z</t>
  </si>
  <si>
    <t>us7000iahf</t>
  </si>
  <si>
    <t>2024-01-18T16:51:58.977Z</t>
  </si>
  <si>
    <t>153 km ENE of Katobu, Indonesia</t>
  </si>
  <si>
    <t>2022-09-24T17:19:52.120Z</t>
  </si>
  <si>
    <t>us6000ipd4</t>
  </si>
  <si>
    <t>2022-12-03T22:02:41.040Z</t>
  </si>
  <si>
    <t>2022-10-27T17:36:19.132Z</t>
  </si>
  <si>
    <t>us7000ikrn</t>
  </si>
  <si>
    <t>2023-01-03T15:23:43.040Z</t>
  </si>
  <si>
    <t>176 km NNE of Ruteng, Indonesia</t>
  </si>
  <si>
    <t>2022-11-07T18:12:06.629Z</t>
  </si>
  <si>
    <t>us7000ip2i</t>
  </si>
  <si>
    <t>2023-01-21T19:27:22.040Z</t>
  </si>
  <si>
    <t>140 km N of Labuan Bajo, Indonesia</t>
  </si>
  <si>
    <t>2022-12-12T18:37:11.156Z</t>
  </si>
  <si>
    <t>us6000j8ub</t>
  </si>
  <si>
    <t>2023-02-18T22:04:06.040Z</t>
  </si>
  <si>
    <t>176 km NNW of Maubara, Timor Leste</t>
  </si>
  <si>
    <t>2022-12-29T08:07:52.147Z</t>
  </si>
  <si>
    <t>us7000j0sv</t>
  </si>
  <si>
    <t>2023-03-07T18:59:57.040Z</t>
  </si>
  <si>
    <t>162 km N of Maumere, Indonesia</t>
  </si>
  <si>
    <t>2023-05-05T11:44:06.394Z</t>
  </si>
  <si>
    <t>us6000k9qy</t>
  </si>
  <si>
    <t>2023-07-15T22:09:51.040Z</t>
  </si>
  <si>
    <t>2023-05-14T06:13:52.805Z</t>
  </si>
  <si>
    <t>us6000kbsi</t>
  </si>
  <si>
    <t>2023-07-24T01:17:05.040Z</t>
  </si>
  <si>
    <t>166 km NNW of Maubara, Timor Leste</t>
  </si>
  <si>
    <t>2023-06-30T10:17:24.626Z</t>
  </si>
  <si>
    <t>us6000kp1u</t>
  </si>
  <si>
    <t>2023-09-08T14:18:29.040Z</t>
  </si>
  <si>
    <t>180 km N of Maubara, Timor Leste</t>
  </si>
  <si>
    <t>2023-07-01T13:21:14.797Z</t>
  </si>
  <si>
    <t>us6000kpg1</t>
  </si>
  <si>
    <t>2023-09-08T14:18:32.040Z</t>
  </si>
  <si>
    <t>261 km N of Likisรก, Timor Leste</t>
  </si>
  <si>
    <t>2023-07-26T16:20:32.336Z</t>
  </si>
  <si>
    <t>us6000kvqb</t>
  </si>
  <si>
    <t>2023-09-30T21:36:31.040Z</t>
  </si>
  <si>
    <t>2023-08-21T10:01:18.472Z</t>
  </si>
  <si>
    <t>us7000kpuh</t>
  </si>
  <si>
    <t>2023-10-28T19:15:33.040Z</t>
  </si>
  <si>
    <t>2023-09-10T21:46:46.484Z</t>
  </si>
  <si>
    <t>us7000kuw7</t>
  </si>
  <si>
    <t>2023-11-18T22:29:32.040Z</t>
  </si>
  <si>
    <t>215 km N of Likisรก, Timor Leste</t>
  </si>
  <si>
    <t>2023-09-21T18:23:22.292Z</t>
  </si>
  <si>
    <t>us7000kx63</t>
  </si>
  <si>
    <t>2023-12-02T23:01:09.040Z</t>
  </si>
  <si>
    <t>88 km S of Baubau, Indonesia</t>
  </si>
  <si>
    <t>2023-12-18T10:18:55.733Z</t>
  </si>
  <si>
    <t>us6000m14t</t>
  </si>
  <si>
    <t>2024-02-27T22:56:56.040Z</t>
  </si>
  <si>
    <t>2023-12-19T02:43:10.705Z</t>
  </si>
  <si>
    <t>us7000ljz0</t>
  </si>
  <si>
    <t>2024-02-27T22:57:01.040Z</t>
  </si>
  <si>
    <t>2024-04-16T03:07:14.850Z</t>
  </si>
  <si>
    <t>us7000mcbr</t>
  </si>
  <si>
    <t>2024-06-25T21:02:47.040Z</t>
  </si>
  <si>
    <t>174 km N of Maubara, Timor Leste</t>
  </si>
  <si>
    <t>2024-06-06T18:57:38.825Z</t>
  </si>
  <si>
    <t>us7000mqsm</t>
  </si>
  <si>
    <t>2024-08-16T21:59:19.040Z</t>
  </si>
  <si>
    <t>171 km NNE of Ruteng, Indonesia</t>
  </si>
  <si>
    <t>2024-07-12T12:46:19.292Z</t>
  </si>
  <si>
    <t>us7000myv0</t>
  </si>
  <si>
    <t>2024-09-20T16:00:55.040Z</t>
  </si>
  <si>
    <t>237 km ESE of Baubau, Indonesia</t>
  </si>
  <si>
    <t>2024-07-24T00:43:05.887Z</t>
  </si>
  <si>
    <t>us6000nf23</t>
  </si>
  <si>
    <t>2024-10-08T21:49:11.005Z</t>
  </si>
  <si>
    <t>191 km N of Dili, Timor Leste</t>
  </si>
  <si>
    <t>2024-10-01T09:28:05.313Z</t>
  </si>
  <si>
    <t>us7000nhex</t>
  </si>
  <si>
    <t>2024-12-14T14:50:55.040Z</t>
  </si>
  <si>
    <t>260 km ESE of Baubau, Indonesia</t>
  </si>
  <si>
    <t>2024-12-08T16:07:34.914Z</t>
  </si>
  <si>
    <t>us7000nx2p</t>
  </si>
  <si>
    <t>2025-02-15T18:31:01.040Z</t>
  </si>
  <si>
    <t>177 km N of Dili, Timor Leste</t>
  </si>
  <si>
    <t>2024-12-23T13:37:11.807Z</t>
  </si>
  <si>
    <t>us7000p0wl</t>
  </si>
  <si>
    <t>2025-03-08T22:39:18.040Z</t>
  </si>
  <si>
    <t>2025-02-07T07:30:36.462Z</t>
  </si>
  <si>
    <t>us7000pc28</t>
  </si>
  <si>
    <t>2025-04-26T14:47:04.040Z</t>
  </si>
  <si>
    <t>2025-03-16T03:44:43.085Z</t>
  </si>
  <si>
    <t>us6000pz4c</t>
  </si>
  <si>
    <t>2025-05-17T19:19:59.040Z</t>
  </si>
  <si>
    <t>2025-03-26T01:47:47.559Z</t>
  </si>
  <si>
    <t>us7000pmn2</t>
  </si>
  <si>
    <t>2025-06-06T21:12:24.040Z</t>
  </si>
  <si>
    <t>105 km N of Labuan Bajo, Indonesia</t>
  </si>
  <si>
    <t>2025-04-05T23:57:29.910Z</t>
  </si>
  <si>
    <t>us6000q4bi</t>
  </si>
  <si>
    <t>2025-06-09T13:38:42.040Z</t>
  </si>
  <si>
    <t>172 km SSW of Baubau, Indonesia</t>
  </si>
  <si>
    <t>2025-04-22T13:34:45.111Z</t>
  </si>
  <si>
    <t>us7000py0d</t>
  </si>
  <si>
    <t>2025-06-27T00:35:11.040Z</t>
  </si>
  <si>
    <t>284 km ESE of Baubau, Indonesia</t>
  </si>
  <si>
    <t>2025-04-25T15:59:44.156Z</t>
  </si>
  <si>
    <t>us7000pv1k</t>
  </si>
  <si>
    <t>2025-07-11T15:46:20.040Z</t>
  </si>
  <si>
    <t>2025-05-27T11:27:09.544Z</t>
  </si>
  <si>
    <t>us7000q1rm</t>
  </si>
  <si>
    <t>2025-08-13T15:14:33.040Z</t>
  </si>
  <si>
    <t>38 km ESE of Katobu, Indonesia</t>
  </si>
  <si>
    <t>2025-05-28T22:23:59.329Z</t>
  </si>
  <si>
    <t>us6000qgil</t>
  </si>
  <si>
    <t>2025-08-16T21:54:09.040Z</t>
  </si>
  <si>
    <t>163 km NNE of Ruteng, Indonesia</t>
  </si>
  <si>
    <t>2025-05-30T07:15:21.710Z</t>
  </si>
  <si>
    <t>us6000qgu5</t>
  </si>
  <si>
    <t>2025-08-16T21:54:10.040Z</t>
  </si>
  <si>
    <t>147 km NNE of Maumere, Indonesia</t>
  </si>
  <si>
    <t>2025-07-27T02:45:26.329Z</t>
  </si>
  <si>
    <t>us6000qves</t>
  </si>
  <si>
    <t>2025-10-11T20:57:20.040Z</t>
  </si>
  <si>
    <t>186 km E of Baubau, Indonesia</t>
  </si>
  <si>
    <t>2025-08-12T16:21:50.662Z</t>
  </si>
  <si>
    <t>us6000r04e</t>
  </si>
  <si>
    <t>2025-10-25T13:40:42.040Z</t>
  </si>
  <si>
    <t>190 km N of Dili, Timor Leste</t>
  </si>
  <si>
    <t>2025-10-12T22:08:59.073Z</t>
  </si>
  <si>
    <t>us6000rgs5</t>
  </si>
  <si>
    <t>2026-01-01T23:11:11.040Z</t>
  </si>
  <si>
    <t>15 km NW of Katobu, Indonesia</t>
  </si>
  <si>
    <t>2025-10-20T16:16:48.368Z</t>
  </si>
  <si>
    <t>us6000ribj</t>
  </si>
  <si>
    <t>2026-01-09T15:38:42.040Z</t>
  </si>
  <si>
    <t>2025-10-22T09:31:54.514Z</t>
  </si>
  <si>
    <t>us6000rimr</t>
  </si>
  <si>
    <t>2026-01-15T22:46:47.040Z</t>
  </si>
  <si>
    <t>2025-10-26T16:18:55.872Z</t>
  </si>
  <si>
    <t>us6000rjkq</t>
  </si>
  <si>
    <t>2026-01-15T22:46:55.040Z</t>
  </si>
  <si>
    <t>167 km SSW of Baubau, Indonesia</t>
  </si>
  <si>
    <t>2026-03-05T01:43:29.676Z</t>
  </si>
  <si>
    <t>us7000s25r</t>
  </si>
  <si>
    <t>2026-05-22T21:58:35.040Z</t>
  </si>
  <si>
    <t>201 km N of Likisรก, Timor Leste</t>
  </si>
  <si>
    <t>2026-03-26T05:32:24.233Z</t>
  </si>
  <si>
    <t>us7000s7qi</t>
  </si>
  <si>
    <t>2026-06-10T15:14:50.040Z</t>
  </si>
  <si>
    <t>2026-07-21T11:47:15.663Z</t>
  </si>
  <si>
    <t>us7000t25t</t>
  </si>
  <si>
    <t>2026-08-13T10:53:14.040Z</t>
  </si>
  <si>
    <t>142 km NNE of Maumere, Indonesia</t>
  </si>
  <si>
    <t>2026-08-16T12:37:51.682Z</t>
  </si>
  <si>
    <t>usd0015e7x</t>
  </si>
  <si>
    <t>2026-08-16T13:27:48.040Z</t>
  </si>
  <si>
    <t>119 km N of Ruteng, Indonesia</t>
  </si>
  <si>
    <t>YMD</t>
  </si>
  <si>
    <t>HMS</t>
  </si>
  <si>
    <t>11:02:46</t>
  </si>
  <si>
    <t>13:08:27</t>
  </si>
  <si>
    <t>12:02:09</t>
  </si>
  <si>
    <t>03:19:49</t>
  </si>
  <si>
    <t>17:08:23</t>
  </si>
  <si>
    <t>20:22:23</t>
  </si>
  <si>
    <t>08:09:24</t>
  </si>
  <si>
    <t>04:42:51</t>
  </si>
  <si>
    <t>10:49:01</t>
  </si>
  <si>
    <t>23:48:09</t>
  </si>
  <si>
    <t>23:53:39</t>
  </si>
  <si>
    <t>15:36:25</t>
  </si>
  <si>
    <t>17:38:55</t>
  </si>
  <si>
    <t>07:41:28</t>
  </si>
  <si>
    <t>17:30:21</t>
  </si>
  <si>
    <t>14:27:19</t>
  </si>
  <si>
    <t>05:45:30</t>
  </si>
  <si>
    <t>10:45:58</t>
  </si>
  <si>
    <t>14:25:37</t>
  </si>
  <si>
    <t>14:24:36</t>
  </si>
  <si>
    <t>12:40:06</t>
  </si>
  <si>
    <t>02:12:19</t>
  </si>
  <si>
    <t>03:34:37</t>
  </si>
  <si>
    <t>06:41:09</t>
  </si>
  <si>
    <t>14:25:08</t>
  </si>
  <si>
    <t>07:14:05</t>
  </si>
  <si>
    <t>07:47:21</t>
  </si>
  <si>
    <t>17:22:28</t>
  </si>
  <si>
    <t>07:26:25</t>
  </si>
  <si>
    <t>01:52:35</t>
  </si>
  <si>
    <t>00:15:26</t>
  </si>
  <si>
    <t>13:50:39</t>
  </si>
  <si>
    <t>23:52:02</t>
  </si>
  <si>
    <t>16:42:15</t>
  </si>
  <si>
    <t>03:45:31</t>
  </si>
  <si>
    <t>03:43:14</t>
  </si>
  <si>
    <t>00:01:11</t>
  </si>
  <si>
    <t>17:01:36</t>
  </si>
  <si>
    <t>23:53:57</t>
  </si>
  <si>
    <t>22:35:57</t>
  </si>
  <si>
    <t>16:51:37</t>
  </si>
  <si>
    <t>05:45:05</t>
  </si>
  <si>
    <t>15:32:56</t>
  </si>
  <si>
    <t>08:14:40</t>
  </si>
  <si>
    <t>13:35:01</t>
  </si>
  <si>
    <t>08:47:40</t>
  </si>
  <si>
    <t>20:33:51</t>
  </si>
  <si>
    <t>21:33:35</t>
  </si>
  <si>
    <t>01:13:25</t>
  </si>
  <si>
    <t>10:17:29</t>
  </si>
  <si>
    <t>18:43:41</t>
  </si>
  <si>
    <t>03:48:49</t>
  </si>
  <si>
    <t>15:10:59</t>
  </si>
  <si>
    <t>06:39:28</t>
  </si>
  <si>
    <t>08:20:35</t>
  </si>
  <si>
    <t>14:04:19</t>
  </si>
  <si>
    <t>03:24:44</t>
  </si>
  <si>
    <t>07:59:10</t>
  </si>
  <si>
    <t>21:09:38</t>
  </si>
  <si>
    <t>21:11:36</t>
  </si>
  <si>
    <t>17:00:21</t>
  </si>
  <si>
    <t>06:22:34</t>
  </si>
  <si>
    <t>20:32:02</t>
  </si>
  <si>
    <t>20:32:40</t>
  </si>
  <si>
    <t>20:33:01</t>
  </si>
  <si>
    <t>10:27:32</t>
  </si>
  <si>
    <t>20:26:50</t>
  </si>
  <si>
    <t>03:25:55</t>
  </si>
  <si>
    <t>12:00:59</t>
  </si>
  <si>
    <t>17:21:13</t>
  </si>
  <si>
    <t>09:11:27</t>
  </si>
  <si>
    <t>05:02:41</t>
  </si>
  <si>
    <t>11:15:47</t>
  </si>
  <si>
    <t>13:32:50</t>
  </si>
  <si>
    <t>02:17:10</t>
  </si>
  <si>
    <t>09:59:01</t>
  </si>
  <si>
    <t>16:47:26</t>
  </si>
  <si>
    <t>19:32:17</t>
  </si>
  <si>
    <t>04:23:29</t>
  </si>
  <si>
    <t>02:20:32</t>
  </si>
  <si>
    <t>15:32:11</t>
  </si>
  <si>
    <t>16:49:30</t>
  </si>
  <si>
    <t>04:57:42</t>
  </si>
  <si>
    <t>21:17:56</t>
  </si>
  <si>
    <t>01:35:19</t>
  </si>
  <si>
    <t>05:45:24</t>
  </si>
  <si>
    <t>14:32:49</t>
  </si>
  <si>
    <t>14:47:32</t>
  </si>
  <si>
    <t>11:03:23</t>
  </si>
  <si>
    <t>21:20:55</t>
  </si>
  <si>
    <t>10:24:20</t>
  </si>
  <si>
    <t>04:27:21</t>
  </si>
  <si>
    <t>11:00:31</t>
  </si>
  <si>
    <t>18:12:19</t>
  </si>
  <si>
    <t>06:19:36</t>
  </si>
  <si>
    <t>18:28:59</t>
  </si>
  <si>
    <t>21:35:35</t>
  </si>
  <si>
    <t>02:23:24</t>
  </si>
  <si>
    <t>08:54:06</t>
  </si>
  <si>
    <t>18:33:29</t>
  </si>
  <si>
    <t>02:17:48</t>
  </si>
  <si>
    <t>14:25:26</t>
  </si>
  <si>
    <t>15:20:40</t>
  </si>
  <si>
    <t>18:26:56</t>
  </si>
  <si>
    <t>21:53:07</t>
  </si>
  <si>
    <t>09:10:35</t>
  </si>
  <si>
    <t>18:56:16</t>
  </si>
  <si>
    <t>03:06:49</t>
  </si>
  <si>
    <t>17:18:29</t>
  </si>
  <si>
    <t>11:48:24</t>
  </si>
  <si>
    <t>11:42:53</t>
  </si>
  <si>
    <t>12:58:11</t>
  </si>
  <si>
    <t>06:29:09</t>
  </si>
  <si>
    <t>13:14:19</t>
  </si>
  <si>
    <t>17:18:43</t>
  </si>
  <si>
    <t>09:31:59</t>
  </si>
  <si>
    <t>16:41:53</t>
  </si>
  <si>
    <t>05:25:44</t>
  </si>
  <si>
    <t>00:58:56</t>
  </si>
  <si>
    <t>15:54:36</t>
  </si>
  <si>
    <t>02:26:23</t>
  </si>
  <si>
    <t>10:24:47</t>
  </si>
  <si>
    <t>12:05:39</t>
  </si>
  <si>
    <t>19:23:56</t>
  </si>
  <si>
    <t>19:27:42</t>
  </si>
  <si>
    <t>07:58:21</t>
  </si>
  <si>
    <t>09:09:39</t>
  </si>
  <si>
    <t>19:03:12</t>
  </si>
  <si>
    <t>10:03:34</t>
  </si>
  <si>
    <t>18:12:37</t>
  </si>
  <si>
    <t>10:04:12</t>
  </si>
  <si>
    <t>16:28:43</t>
  </si>
  <si>
    <t>14:25:27</t>
  </si>
  <si>
    <t>01:40:45</t>
  </si>
  <si>
    <t>08:34:17</t>
  </si>
  <si>
    <t>08:32:00</t>
  </si>
  <si>
    <t>15:07:17</t>
  </si>
  <si>
    <t>22:13:35</t>
  </si>
  <si>
    <t>15:23:25</t>
  </si>
  <si>
    <t>10:44:48</t>
  </si>
  <si>
    <t>11:21:53</t>
  </si>
  <si>
    <t>11:22:06</t>
  </si>
  <si>
    <t>11:22:20</t>
  </si>
  <si>
    <t>13:49:09</t>
  </si>
  <si>
    <t>20:21:53</t>
  </si>
  <si>
    <t>10:14:33</t>
  </si>
  <si>
    <t>22:43:32</t>
  </si>
  <si>
    <t>21:54:23</t>
  </si>
  <si>
    <t>20:58:42</t>
  </si>
  <si>
    <t>13:02:46</t>
  </si>
  <si>
    <t>16:07:27</t>
  </si>
  <si>
    <t>20:09:23</t>
  </si>
  <si>
    <t>19:31:31</t>
  </si>
  <si>
    <t>14:02:02</t>
  </si>
  <si>
    <t>10:20:44</t>
  </si>
  <si>
    <t>19:51:26</t>
  </si>
  <si>
    <t>10:54:58</t>
  </si>
  <si>
    <t>07:13:01</t>
  </si>
  <si>
    <t>07:44:31</t>
  </si>
  <si>
    <t>11:46:38</t>
  </si>
  <si>
    <t>17:36:00</t>
  </si>
  <si>
    <t>06:27:49</t>
  </si>
  <si>
    <t>11:51:25</t>
  </si>
  <si>
    <t>11:10:19</t>
  </si>
  <si>
    <t>21:38:07</t>
  </si>
  <si>
    <t>04:14:25</t>
  </si>
  <si>
    <t>05:33:10</t>
  </si>
  <si>
    <t>09:13:58</t>
  </si>
  <si>
    <t>11:00:03</t>
  </si>
  <si>
    <t>06:55:45</t>
  </si>
  <si>
    <t>20:00:47</t>
  </si>
  <si>
    <t>20:58:47</t>
  </si>
  <si>
    <t>16:56:42</t>
  </si>
  <si>
    <t>10:51:22</t>
  </si>
  <si>
    <t>13:27:39</t>
  </si>
  <si>
    <t>05:56:16</t>
  </si>
  <si>
    <t>01:24:05</t>
  </si>
  <si>
    <t>06:57:15</t>
  </si>
  <si>
    <t>01:40:04</t>
  </si>
  <si>
    <t>12:03:20</t>
  </si>
  <si>
    <t>07:51:45</t>
  </si>
  <si>
    <t>15:00:04</t>
  </si>
  <si>
    <t>17:37:39</t>
  </si>
  <si>
    <t>23:20:18</t>
  </si>
  <si>
    <t>17:32:58</t>
  </si>
  <si>
    <t>07:46:01</t>
  </si>
  <si>
    <t>06:17:39</t>
  </si>
  <si>
    <t>20:39:16</t>
  </si>
  <si>
    <t>10:40:29</t>
  </si>
  <si>
    <t>14:11:31</t>
  </si>
  <si>
    <t>11:01:16</t>
  </si>
  <si>
    <t>09:23:00</t>
  </si>
  <si>
    <t>10:31:39</t>
  </si>
  <si>
    <t>19:20:39</t>
  </si>
  <si>
    <t>21:39:35</t>
  </si>
  <si>
    <t>18:41:27</t>
  </si>
  <si>
    <t>07:50:39</t>
  </si>
  <si>
    <t>05:31:51</t>
  </si>
  <si>
    <t>01:42:13</t>
  </si>
  <si>
    <t>19:42:46</t>
  </si>
  <si>
    <t>21:52:59</t>
  </si>
  <si>
    <t>01:15:47</t>
  </si>
  <si>
    <t>06:20:05</t>
  </si>
  <si>
    <t>20:28:51</t>
  </si>
  <si>
    <t>09:09:18</t>
  </si>
  <si>
    <t>14:30:45</t>
  </si>
  <si>
    <t>13:47:13</t>
  </si>
  <si>
    <t>13:48:08</t>
  </si>
  <si>
    <t>12:37:12</t>
  </si>
  <si>
    <t>10:58:52</t>
  </si>
  <si>
    <t>05:28:00</t>
  </si>
  <si>
    <t>00:36:33</t>
  </si>
  <si>
    <t>10:18:02</t>
  </si>
  <si>
    <t>11:22:18</t>
  </si>
  <si>
    <t>12:03:42</t>
  </si>
  <si>
    <t>12:07:37</t>
  </si>
  <si>
    <t>15:56:30</t>
  </si>
  <si>
    <t>16:19:27</t>
  </si>
  <si>
    <t>22:05:45</t>
  </si>
  <si>
    <t>06:00:12</t>
  </si>
  <si>
    <t>06:10:29</t>
  </si>
  <si>
    <t>15:37:50</t>
  </si>
  <si>
    <t>10:22:35</t>
  </si>
  <si>
    <t>05:35:42</t>
  </si>
  <si>
    <t>23:15:57</t>
  </si>
  <si>
    <t>11:19:22</t>
  </si>
  <si>
    <t>14:26:40</t>
  </si>
  <si>
    <t>09:59:06</t>
  </si>
  <si>
    <t>22:48:42</t>
  </si>
  <si>
    <t>05:04:36</t>
  </si>
  <si>
    <t>22:54:57</t>
  </si>
  <si>
    <t>12:50:58</t>
  </si>
  <si>
    <t>03:17:12</t>
  </si>
  <si>
    <t>07:20:16</t>
  </si>
  <si>
    <t>18:55:36</t>
  </si>
  <si>
    <t>20:44:20</t>
  </si>
  <si>
    <t>07:23:23</t>
  </si>
  <si>
    <t>05:50:15</t>
  </si>
  <si>
    <t>04:09:38</t>
  </si>
  <si>
    <t>16:57:58</t>
  </si>
  <si>
    <t>20:30:44</t>
  </si>
  <si>
    <t>07:32:38</t>
  </si>
  <si>
    <t>08:22:30</t>
  </si>
  <si>
    <t>05:01:32</t>
  </si>
  <si>
    <t>15:17:25</t>
  </si>
  <si>
    <t>09:56:33</t>
  </si>
  <si>
    <t>08:17:47</t>
  </si>
  <si>
    <t>19:30:02</t>
  </si>
  <si>
    <t>05:33:17</t>
  </si>
  <si>
    <t>08:53:42</t>
  </si>
  <si>
    <t>00:30:48</t>
  </si>
  <si>
    <t>21:22:14</t>
  </si>
  <si>
    <t>22:23:15</t>
  </si>
  <si>
    <t>00:29:45</t>
  </si>
  <si>
    <t>06:36:08</t>
  </si>
  <si>
    <t>22:53:13</t>
  </si>
  <si>
    <t>13:17:52</t>
  </si>
  <si>
    <t>16:23:47</t>
  </si>
  <si>
    <t>14:33:55</t>
  </si>
  <si>
    <t>16:17:43</t>
  </si>
  <si>
    <t>17:01:43</t>
  </si>
  <si>
    <t>13:55:26</t>
  </si>
  <si>
    <t>14:23:52</t>
  </si>
  <si>
    <t>10:12:32</t>
  </si>
  <si>
    <t>11:50:36</t>
  </si>
  <si>
    <t>02:31:34</t>
  </si>
  <si>
    <t>1973-06-14</t>
  </si>
  <si>
    <t>1973-07-16</t>
  </si>
  <si>
    <t>1973-11-04</t>
  </si>
  <si>
    <t>1974-01-23</t>
  </si>
  <si>
    <t>1974-02-01</t>
  </si>
  <si>
    <t>1974-09-04</t>
  </si>
  <si>
    <t>1974-10-05</t>
  </si>
  <si>
    <t>1975-01-04</t>
  </si>
  <si>
    <t>1975-03-17</t>
  </si>
  <si>
    <t>1975-07-06</t>
  </si>
  <si>
    <t>1975-07-28</t>
  </si>
  <si>
    <t>1975-09-27</t>
  </si>
  <si>
    <t>1975-10-16</t>
  </si>
  <si>
    <t>1975-10-31</t>
  </si>
  <si>
    <t>1975-11-10</t>
  </si>
  <si>
    <t>1975-12-05</t>
  </si>
  <si>
    <t>1976-01-23</t>
  </si>
  <si>
    <t>1976-02-03</t>
  </si>
  <si>
    <t>1976-06-09</t>
  </si>
  <si>
    <t>1976-12-05</t>
  </si>
  <si>
    <t>1977-04-08</t>
  </si>
  <si>
    <t>1977-06-02</t>
  </si>
  <si>
    <t>1977-06-09</t>
  </si>
  <si>
    <t>1977-12-06</t>
  </si>
  <si>
    <t>1978-02-21</t>
  </si>
  <si>
    <t>1978-03-22</t>
  </si>
  <si>
    <t>1978-06-11</t>
  </si>
  <si>
    <t>1978-06-24</t>
  </si>
  <si>
    <t>1978-10-25</t>
  </si>
  <si>
    <t>1979-01-18</t>
  </si>
  <si>
    <t>1979-01-25</t>
  </si>
  <si>
    <t>1979-05-03</t>
  </si>
  <si>
    <t>1979-06-10</t>
  </si>
  <si>
    <t>1979-08-14</t>
  </si>
  <si>
    <t>1979-08-17</t>
  </si>
  <si>
    <t>1979-11-07</t>
  </si>
  <si>
    <t>1979-12-04</t>
  </si>
  <si>
    <t>1980-01-07</t>
  </si>
  <si>
    <t>1980-05-03</t>
  </si>
  <si>
    <t>1980-06-07</t>
  </si>
  <si>
    <t>1980-08-04</t>
  </si>
  <si>
    <t>1980-09-09</t>
  </si>
  <si>
    <t>1980-09-10</t>
  </si>
  <si>
    <t>1980-10-23</t>
  </si>
  <si>
    <t>1980-12-11</t>
  </si>
  <si>
    <t>1980-12-29</t>
  </si>
  <si>
    <t>1981-04-06</t>
  </si>
  <si>
    <t>1981-06-11</t>
  </si>
  <si>
    <t>1981-07-09</t>
  </si>
  <si>
    <t>1981-10-14</t>
  </si>
  <si>
    <t>1982-03-02</t>
  </si>
  <si>
    <t>1982-04-12</t>
  </si>
  <si>
    <t>1982-05-10</t>
  </si>
  <si>
    <t>1982-05-19</t>
  </si>
  <si>
    <t>1982-05-26</t>
  </si>
  <si>
    <t>1982-08-09</t>
  </si>
  <si>
    <t>1982-12-18</t>
  </si>
  <si>
    <t>1982-12-28</t>
  </si>
  <si>
    <t>1983-02-18</t>
  </si>
  <si>
    <t>1983-04-17</t>
  </si>
  <si>
    <t>1983-05-10</t>
  </si>
  <si>
    <t>1983-06-09</t>
  </si>
  <si>
    <t>1983-07-23</t>
  </si>
  <si>
    <t>1983-08-08</t>
  </si>
  <si>
    <t>1983-08-21</t>
  </si>
  <si>
    <t>1983-09-15</t>
  </si>
  <si>
    <t>1983-10-13</t>
  </si>
  <si>
    <t>1983-11-25</t>
  </si>
  <si>
    <t>1984-02-10</t>
  </si>
  <si>
    <t>1984-03-18</t>
  </si>
  <si>
    <t>1984-04-01</t>
  </si>
  <si>
    <t>1984-04-16</t>
  </si>
  <si>
    <t>1984-07-03</t>
  </si>
  <si>
    <t>1984-07-24</t>
  </si>
  <si>
    <t>1984-08-01</t>
  </si>
  <si>
    <t>1984-08-10</t>
  </si>
  <si>
    <t>1984-10-24</t>
  </si>
  <si>
    <t>1984-11-13</t>
  </si>
  <si>
    <t>1984-11-23</t>
  </si>
  <si>
    <t>1984-11-26</t>
  </si>
  <si>
    <t>1985-01-13</t>
  </si>
  <si>
    <t>1985-01-19</t>
  </si>
  <si>
    <t>1985-02-03</t>
  </si>
  <si>
    <t>1985-02-20</t>
  </si>
  <si>
    <t>1985-04-09</t>
  </si>
  <si>
    <t>1985-07-26</t>
  </si>
  <si>
    <t>1985-10-06</t>
  </si>
  <si>
    <t>1985-10-25</t>
  </si>
  <si>
    <t>1986-01-31</t>
  </si>
  <si>
    <t>1986-02-21</t>
  </si>
  <si>
    <t>1986-03-21</t>
  </si>
  <si>
    <t>1986-03-24</t>
  </si>
  <si>
    <t>1986-05-27</t>
  </si>
  <si>
    <t>1986-05-30</t>
  </si>
  <si>
    <t>1986-07-06</t>
  </si>
  <si>
    <t>1986-07-18</t>
  </si>
  <si>
    <t>1986-07-20</t>
  </si>
  <si>
    <t>1986-07-30</t>
  </si>
  <si>
    <t>1986-09-03</t>
  </si>
  <si>
    <t>1986-10-04</t>
  </si>
  <si>
    <t>1986-10-12</t>
  </si>
  <si>
    <t>1986-11-10</t>
  </si>
  <si>
    <t>1986-11-21</t>
  </si>
  <si>
    <t>1986-11-23</t>
  </si>
  <si>
    <t>1986-12-08</t>
  </si>
  <si>
    <t>1986-12-11</t>
  </si>
  <si>
    <t>1987-02-03</t>
  </si>
  <si>
    <t>1987-02-23</t>
  </si>
  <si>
    <t>1987-04-13</t>
  </si>
  <si>
    <t>1987-04-20</t>
  </si>
  <si>
    <t>1987-05-31</t>
  </si>
  <si>
    <t>1987-07-17</t>
  </si>
  <si>
    <t>1987-07-23</t>
  </si>
  <si>
    <t>1987-08-06</t>
  </si>
  <si>
    <t>1987-09-10</t>
  </si>
  <si>
    <t>1987-10-12</t>
  </si>
  <si>
    <t>1987-11-08</t>
  </si>
  <si>
    <t>1987-11-21</t>
  </si>
  <si>
    <t>1988-03-10</t>
  </si>
  <si>
    <t>1988-03-11</t>
  </si>
  <si>
    <t>1988-03-21</t>
  </si>
  <si>
    <t>1988-03-22</t>
  </si>
  <si>
    <t>1988-03-31</t>
  </si>
  <si>
    <t>1988-05-10</t>
  </si>
  <si>
    <t>1988-05-19</t>
  </si>
  <si>
    <t>1988-06-07</t>
  </si>
  <si>
    <t>1988-06-15</t>
  </si>
  <si>
    <t>1988-07-16</t>
  </si>
  <si>
    <t>1988-09-23</t>
  </si>
  <si>
    <t>1988-10-27</t>
  </si>
  <si>
    <t>1988-11-19</t>
  </si>
  <si>
    <t>1988-11-29</t>
  </si>
  <si>
    <t>1988-12-05</t>
  </si>
  <si>
    <t>1989-02-05</t>
  </si>
  <si>
    <t>1989-04-29</t>
  </si>
  <si>
    <t>1989-06-21</t>
  </si>
  <si>
    <t>1989-07-25</t>
  </si>
  <si>
    <t>1989-08-11</t>
  </si>
  <si>
    <t>1989-12-14</t>
  </si>
  <si>
    <t>1989-12-22</t>
  </si>
  <si>
    <t>1990-01-01</t>
  </si>
  <si>
    <t>1990-05-24</t>
  </si>
  <si>
    <t>1990-05-27</t>
  </si>
  <si>
    <t>1990-06-14</t>
  </si>
  <si>
    <t>1990-07-22</t>
  </si>
  <si>
    <t>1990-09-06</t>
  </si>
  <si>
    <t>1990-09-16</t>
  </si>
  <si>
    <t>1990-09-22</t>
  </si>
  <si>
    <t>1990-09-26</t>
  </si>
  <si>
    <t>1990-10-15</t>
  </si>
  <si>
    <t>1991-05-03</t>
  </si>
  <si>
    <t>1991-05-25</t>
  </si>
  <si>
    <t>1991-06-07</t>
  </si>
  <si>
    <t>1991-07-06</t>
  </si>
  <si>
    <t>1991-08-14</t>
  </si>
  <si>
    <t>1991-09-07</t>
  </si>
  <si>
    <t>1991-09-26</t>
  </si>
  <si>
    <t>1991-09-28</t>
  </si>
  <si>
    <t>1991-12-01</t>
  </si>
  <si>
    <t>1991-12-15</t>
  </si>
  <si>
    <t>1991-12-24</t>
  </si>
  <si>
    <t>1992-03-11</t>
  </si>
  <si>
    <t>1992-03-17</t>
  </si>
  <si>
    <t>1992-03-26</t>
  </si>
  <si>
    <t>1992-04-08</t>
  </si>
  <si>
    <t>1992-05-22</t>
  </si>
  <si>
    <t>1992-06-18</t>
  </si>
  <si>
    <t>1992-07-28</t>
  </si>
  <si>
    <t>1992-08-02</t>
  </si>
  <si>
    <t>1992-09-13</t>
  </si>
  <si>
    <t>1992-10-26</t>
  </si>
  <si>
    <t>1992-12-21</t>
  </si>
  <si>
    <t>1992-12-24</t>
  </si>
  <si>
    <t>1992-12-29</t>
  </si>
  <si>
    <t>1993-06-09</t>
  </si>
  <si>
    <t>1993-06-18</t>
  </si>
  <si>
    <t>1993-06-21</t>
  </si>
  <si>
    <t>1993-06-30</t>
  </si>
  <si>
    <t>1993-08-07</t>
  </si>
  <si>
    <t>1993-09-17</t>
  </si>
  <si>
    <t>1993-10-17</t>
  </si>
  <si>
    <t>1994-03-19</t>
  </si>
  <si>
    <t>1994-04-25</t>
  </si>
  <si>
    <t>1994-04-27</t>
  </si>
  <si>
    <t>1994-05-10</t>
  </si>
  <si>
    <t>1994-06-07</t>
  </si>
  <si>
    <t>1994-07-19</t>
  </si>
  <si>
    <t>1994-08-18</t>
  </si>
  <si>
    <t>1994-08-30</t>
  </si>
  <si>
    <t>1995-01-28</t>
  </si>
  <si>
    <t>1995-02-05</t>
  </si>
  <si>
    <t>1995-05-20</t>
  </si>
  <si>
    <t>1995-05-29</t>
  </si>
  <si>
    <t>1995-05-30</t>
  </si>
  <si>
    <t>1995-08-14</t>
  </si>
  <si>
    <t>1995-10-25</t>
  </si>
  <si>
    <t>1995-12-07</t>
  </si>
  <si>
    <t>1996-01-02</t>
  </si>
  <si>
    <t>1996-01-07</t>
  </si>
  <si>
    <t>1996-01-29</t>
  </si>
  <si>
    <t>1996-02-17</t>
  </si>
  <si>
    <t>1996-06-17</t>
  </si>
  <si>
    <t>1996-06-18</t>
  </si>
  <si>
    <t>1996-07-04</t>
  </si>
  <si>
    <t>1996-08-18</t>
  </si>
  <si>
    <t>1996-08-22</t>
  </si>
  <si>
    <t>1996-10-06</t>
  </si>
  <si>
    <t>1996-10-07</t>
  </si>
  <si>
    <t>1997-01-02</t>
  </si>
  <si>
    <t>1997-01-04</t>
  </si>
  <si>
    <t>1997-01-18</t>
  </si>
  <si>
    <t>1997-01-28</t>
  </si>
  <si>
    <t>1997-03-05</t>
  </si>
  <si>
    <t>1997-03-19</t>
  </si>
  <si>
    <t>1997-04-13</t>
  </si>
  <si>
    <t>1997-05-01</t>
  </si>
  <si>
    <t>1997-06-21</t>
  </si>
  <si>
    <t>1997-07-26</t>
  </si>
  <si>
    <t>1997-09-22</t>
  </si>
  <si>
    <t>1997-12-24</t>
  </si>
  <si>
    <t>1998-05-14</t>
  </si>
  <si>
    <t>1998-05-31</t>
  </si>
  <si>
    <t>1998-06-11</t>
  </si>
  <si>
    <t>1998-06-27</t>
  </si>
  <si>
    <t>1998-07-12</t>
  </si>
  <si>
    <t>1998-07-28</t>
  </si>
  <si>
    <t>1998-07-31</t>
  </si>
  <si>
    <t>1998-11-10</t>
  </si>
  <si>
    <t>1998-12-07</t>
  </si>
  <si>
    <t>1998-12-22</t>
  </si>
  <si>
    <t>1999-02-01</t>
  </si>
  <si>
    <t>1999-02-09</t>
  </si>
  <si>
    <t>1999-03-12</t>
  </si>
  <si>
    <t>1999-09-12</t>
  </si>
  <si>
    <t>1999-09-23</t>
  </si>
  <si>
    <t>1999-10-03</t>
  </si>
  <si>
    <t>1999-10-13</t>
  </si>
  <si>
    <t>2000-01-28</t>
  </si>
  <si>
    <t>2000-06-29</t>
  </si>
  <si>
    <t>2000-08-07</t>
  </si>
  <si>
    <t>2000-08-24</t>
  </si>
  <si>
    <t>2000-08-26</t>
  </si>
  <si>
    <t>2000-08-31</t>
  </si>
  <si>
    <t>2000-09-10</t>
  </si>
  <si>
    <t>2000-10-17</t>
  </si>
  <si>
    <t>2000-12-27</t>
  </si>
  <si>
    <t>Dayquary</t>
  </si>
  <si>
    <t>DeepE</t>
  </si>
  <si>
    <t>listE</t>
  </si>
  <si>
    <t>DeepN</t>
  </si>
  <si>
    <t>magitude</t>
  </si>
  <si>
    <t>Row Labels</t>
  </si>
  <si>
    <t>Grand Total</t>
  </si>
  <si>
    <t>Count of magType</t>
  </si>
  <si>
    <t>Year</t>
  </si>
  <si>
    <t>1973</t>
  </si>
  <si>
    <t>1974</t>
  </si>
  <si>
    <t>1975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</si>
  <si>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</si>
  <si>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</si>
  <si>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</si>
  <si>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</si>
  <si>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</si>
  <si>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</si>
  <si>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</si>
  <si>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</si>
  <si>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</si>
  <si>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</si>
  <si>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</si>
  <si>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</si>
  <si>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</si>
  <si>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</si>
  <si>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</si>
  <si>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</si>
  <si>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</si>
  <si>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</si>
  <si>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</si>
  <si>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</si>
  <si>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</si>
  <si>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</si>
  <si>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</si>
  <si>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</si>
  <si>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</si>
  <si>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</si>
  <si>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</si>
  <si>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</si>
  <si>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</si>
  <si>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</si>
  <si>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</si>
  <si>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</si>
  <si>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</si>
  <si>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</si>
  <si>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</si>
  <si>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</si>
  <si>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</si>
  <si>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Month</t>
  </si>
  <si>
    <t>แมกนิจูด</t>
  </si>
  <si>
    <t>ร้อยละ</t>
  </si>
  <si>
    <t>2.5-4.9</t>
  </si>
  <si>
    <t>5.0-5.9</t>
  </si>
  <si>
    <t>6.0-6.9</t>
  </si>
  <si>
    <t>7.0-7.9</t>
  </si>
  <si>
    <t>8.0-8.9</t>
  </si>
  <si>
    <t>&gt;9.0</t>
  </si>
  <si>
    <t>ความถี่ (ครั้ง)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</si>
</sst>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7" formatCode="0.0"/>
  </numFmts>
  <fonts count="19" x14ac:knownFonts="1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sz val="18"/>
      <color theme="3"/>
      <name val="Tahoma"/>
      <family val="2"/>
      <charset val="222"/>
      <scheme val="major"/>
    </font>
    <font>
      <b/>
      <sz val="15"/>
      <color theme="3"/>
      <name val="Tahoma"/>
      <family val="2"/>
      <charset val="222"/>
      <scheme val="minor"/>
    </font>
    <font>
      <b/>
      <sz val="13"/>
      <color theme="3"/>
      <name val="Tahoma"/>
      <family val="2"/>
      <charset val="222"/>
      <scheme val="minor"/>
    </font>
    <font>
      <b/>
      <sz val="11"/>
      <color theme="3"/>
      <name val="Tahoma"/>
      <family val="2"/>
      <charset val="222"/>
      <scheme val="minor"/>
    </font>
    <font>
      <sz val="11"/>
      <color rgb="FF006100"/>
      <name val="Tahoma"/>
      <family val="2"/>
      <charset val="222"/>
      <scheme val="minor"/>
    </font>
    <font>
      <sz val="11"/>
      <color rgb="FF9C0006"/>
      <name val="Tahoma"/>
      <family val="2"/>
      <charset val="222"/>
      <scheme val="minor"/>
    </font>
    <font>
      <sz val="11"/>
      <color rgb="FF9C5700"/>
      <name val="Tahoma"/>
      <family val="2"/>
      <charset val="222"/>
      <scheme val="minor"/>
    </font>
    <font>
      <sz val="11"/>
      <color rgb="FF3F3F76"/>
      <name val="Tahoma"/>
      <family val="2"/>
      <charset val="222"/>
      <scheme val="minor"/>
    </font>
    <font>
      <b/>
      <sz val="11"/>
      <color rgb="FF3F3F3F"/>
      <name val="Tahoma"/>
      <family val="2"/>
      <charset val="222"/>
      <scheme val="minor"/>
    </font>
    <font>
      <b/>
      <sz val="11"/>
      <color rgb="FFFA7D00"/>
      <name val="Tahoma"/>
      <family val="2"/>
      <charset val="222"/>
      <scheme val="minor"/>
    </font>
    <font>
      <sz val="11"/>
      <color rgb="FFFA7D00"/>
      <name val="Tahoma"/>
      <family val="2"/>
      <charset val="222"/>
      <scheme val="minor"/>
    </font>
    <font>
      <b/>
      <sz val="11"/>
      <color theme="0"/>
      <name val="Tahoma"/>
      <family val="2"/>
      <charset val="222"/>
      <scheme val="minor"/>
    </font>
    <font>
      <sz val="11"/>
      <color rgb="FFFF0000"/>
      <name val="Tahoma"/>
      <family val="2"/>
      <charset val="222"/>
      <scheme val="minor"/>
    </font>
    <font>
      <i/>
      <sz val="11"/>
      <color rgb="FF7F7F7F"/>
      <name val="Tahoma"/>
      <family val="2"/>
      <charset val="222"/>
      <scheme val="minor"/>
    </font>
    <font>
      <b/>
      <sz val="11"/>
      <color theme="1"/>
      <name val="Tahoma"/>
      <family val="2"/>
      <charset val="222"/>
      <scheme val="minor"/>
    </font>
    <font>
      <sz val="11"/>
      <color theme="0"/>
      <name val="Tahoma"/>
      <family val="2"/>
      <charset val="222"/>
      <scheme val="minor"/>
    </font>
    <font>
      <sz val="11"/>
      <color rgb="FF0070C0"/>
      <name val="Tahoma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0" borderId="0" xfId="0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18" fillId="0" borderId="0" xfId="0" applyFont="1" applyAlignment="1">
      <alignment horizontal="center"/>
    </xf>
    <xf numFmtId="187" fontId="0" fillId="0" borderId="0" xfId="0" applyNumberForma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CS" refreshedDate="46282.475896643518" createdVersion="8" refreshedVersion="8" minRefreshableVersion="3" recordCount="267" xr:uid="{3ABBEF1E-1C65-41A7-A9F3-37AF678AA92D}">
  <cacheSource type="worksheet">
    <worksheetSource ref="B1:G268" sheet="data"/>
  </cacheSource>
  <cacheFields count="7">
    <cacheField name="Year" numFmtId="0">
      <sharedItems count="28">
        <s v="1973"/>
        <s v="1974"/>
        <s v="1975"/>
        <s v="1976"/>
        <s v="1977"/>
        <s v="1978"/>
        <s v="1979"/>
        <s v="1980"/>
        <s v="1981"/>
        <s v="1982"/>
        <s v="1983"/>
        <s v="1984"/>
        <s v="1985"/>
        <s v="1986"/>
        <s v="1987"/>
        <s v="1988"/>
        <s v="1989"/>
        <s v="1990"/>
        <s v="1991"/>
        <s v="1992"/>
        <s v="1993"/>
        <s v="1994"/>
        <s v="1995"/>
        <s v="1996"/>
        <s v="1997"/>
        <s v="1998"/>
        <s v="1999"/>
        <s v="2000"/>
      </sharedItems>
    </cacheField>
    <cacheField name="Month" numFmtId="0">
      <sharedItems count="12">
        <s v="06"/>
        <s v="07"/>
        <s v="11"/>
        <s v="01"/>
        <s v="02"/>
        <s v="09"/>
        <s v="10"/>
        <s v="03"/>
        <s v="12"/>
        <s v="04"/>
        <s v="05"/>
        <s v="08"/>
      </sharedItems>
    </cacheField>
    <cacheField name="latitude" numFmtId="0">
      <sharedItems containsSemiMixedTypes="0" containsString="0" containsNumber="1" minValue="-7.5579999999999998" maxValue="-4.548"/>
    </cacheField>
    <cacheField name="longitude" numFmtId="0">
      <sharedItems containsSemiMixedTypes="0" containsString="0" containsNumber="1" minValue="118.723" maxValue="125.28700000000001"/>
    </cacheField>
    <cacheField name="depth" numFmtId="0">
      <sharedItems containsSemiMixedTypes="0" containsString="0" containsNumber="1" minValue="10" maxValue="675.5"/>
    </cacheField>
    <cacheField name="mag" numFmtId="0">
      <sharedItems containsSemiMixedTypes="0" containsString="0" containsNumber="1" minValue="4.5" maxValue="7.9"/>
    </cacheField>
    <cacheField name="magType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67">
  <r>
    <x v="0"/>
    <x v="0"/>
    <n v="-7.2910000000000004"/>
    <n v="120.38500000000001"/>
    <n v="631"/>
    <n v="5.8"/>
    <s v="mb"/>
  </r>
  <r>
    <x v="0"/>
    <x v="1"/>
    <n v="-7.4630000000000001"/>
    <n v="122.11799999999999"/>
    <n v="392"/>
    <n v="5.4"/>
    <s v="mb"/>
  </r>
  <r>
    <x v="0"/>
    <x v="2"/>
    <n v="-6.0289999999999999"/>
    <n v="124.68600000000001"/>
    <n v="605"/>
    <n v="5.5"/>
    <s v="mb"/>
  </r>
  <r>
    <x v="1"/>
    <x v="3"/>
    <n v="-7.0359999999999996"/>
    <n v="124.749"/>
    <n v="545"/>
    <n v="5.3"/>
    <s v="mb"/>
  </r>
  <r>
    <x v="1"/>
    <x v="4"/>
    <n v="-7.3449999999999998"/>
    <n v="120.251"/>
    <n v="582"/>
    <n v="5.0999999999999996"/>
    <s v="mb"/>
  </r>
  <r>
    <x v="1"/>
    <x v="5"/>
    <n v="-7.24"/>
    <n v="120.21599999999999"/>
    <n v="390"/>
    <n v="5.4"/>
    <s v="mb"/>
  </r>
  <r>
    <x v="1"/>
    <x v="6"/>
    <n v="-7.3109999999999999"/>
    <n v="120.548"/>
    <n v="618"/>
    <n v="4.8"/>
    <s v="mb"/>
  </r>
  <r>
    <x v="2"/>
    <x v="3"/>
    <n v="-7.3090000000000002"/>
    <n v="120.17"/>
    <n v="627"/>
    <n v="5.3"/>
    <s v="mb"/>
  </r>
  <r>
    <x v="2"/>
    <x v="7"/>
    <n v="-6.9569999999999999"/>
    <n v="124.616"/>
    <n v="538"/>
    <n v="5"/>
    <s v="mb"/>
  </r>
  <r>
    <x v="2"/>
    <x v="1"/>
    <n v="-7.2320000000000002"/>
    <n v="120.44799999999999"/>
    <n v="604"/>
    <n v="4.7"/>
    <s v="mb"/>
  </r>
  <r>
    <x v="2"/>
    <x v="1"/>
    <n v="-7.2510000000000003"/>
    <n v="120.499"/>
    <n v="637"/>
    <n v="5"/>
    <s v="mb"/>
  </r>
  <r>
    <x v="2"/>
    <x v="5"/>
    <n v="-7.5549999999999997"/>
    <n v="120.283"/>
    <n v="367"/>
    <n v="5.0999999999999996"/>
    <s v="mb"/>
  </r>
  <r>
    <x v="2"/>
    <x v="6"/>
    <n v="-7.5209999999999999"/>
    <n v="124.64700000000001"/>
    <n v="359"/>
    <n v="5.2"/>
    <s v="mb"/>
  </r>
  <r>
    <x v="2"/>
    <x v="6"/>
    <n v="-7.4470000000000001"/>
    <n v="125.254"/>
    <n v="50"/>
    <n v="4.8"/>
    <s v="mb"/>
  </r>
  <r>
    <x v="2"/>
    <x v="2"/>
    <n v="-6.5330000000000004"/>
    <n v="124.742"/>
    <n v="606"/>
    <n v="5"/>
    <s v="mb"/>
  </r>
  <r>
    <x v="2"/>
    <x v="8"/>
    <n v="-6.2850000000000001"/>
    <n v="124.755"/>
    <n v="576"/>
    <n v="5.7"/>
    <s v="mb"/>
  </r>
  <r>
    <x v="3"/>
    <x v="3"/>
    <n v="-7.4779999999999998"/>
    <n v="119.905"/>
    <n v="614"/>
    <n v="6.4"/>
    <s v="mb"/>
  </r>
  <r>
    <x v="3"/>
    <x v="4"/>
    <n v="-7.0590000000000002"/>
    <n v="123.74299999999999"/>
    <n v="611"/>
    <n v="5.2"/>
    <s v="mb"/>
  </r>
  <r>
    <x v="3"/>
    <x v="0"/>
    <n v="-5.1890000000000001"/>
    <n v="125.23099999999999"/>
    <n v="33"/>
    <n v="5.0999999999999996"/>
    <s v="mb"/>
  </r>
  <r>
    <x v="3"/>
    <x v="8"/>
    <n v="-7.0789999999999997"/>
    <n v="123.815"/>
    <n v="596"/>
    <n v="4.7"/>
    <s v="mb"/>
  </r>
  <r>
    <x v="4"/>
    <x v="9"/>
    <n v="-7.27"/>
    <n v="120.306"/>
    <n v="562"/>
    <n v="4.5"/>
    <s v="mb"/>
  </r>
  <r>
    <x v="4"/>
    <x v="0"/>
    <n v="-7.0549999999999997"/>
    <n v="125.205"/>
    <n v="522"/>
    <n v="4.8"/>
    <s v="mb"/>
  </r>
  <r>
    <x v="4"/>
    <x v="0"/>
    <n v="-5.9820000000000002"/>
    <n v="123.645"/>
    <n v="43"/>
    <n v="5"/>
    <s v="mb"/>
  </r>
  <r>
    <x v="4"/>
    <x v="0"/>
    <n v="-6.0549999999999997"/>
    <n v="123.69"/>
    <n v="24"/>
    <n v="5.0999999999999996"/>
    <s v="mb"/>
  </r>
  <r>
    <x v="4"/>
    <x v="8"/>
    <n v="-6.069"/>
    <n v="125.18300000000001"/>
    <n v="548"/>
    <n v="4.8"/>
    <s v="mb"/>
  </r>
  <r>
    <x v="5"/>
    <x v="4"/>
    <n v="-4.9459999999999997"/>
    <n v="125.247"/>
    <n v="535"/>
    <n v="5.9"/>
    <s v="mb"/>
  </r>
  <r>
    <x v="5"/>
    <x v="4"/>
    <n v="-4.9950000000000001"/>
    <n v="125.23"/>
    <n v="531"/>
    <n v="5.6"/>
    <s v="mb"/>
  </r>
  <r>
    <x v="5"/>
    <x v="7"/>
    <n v="-7.08"/>
    <n v="123.256"/>
    <n v="556"/>
    <n v="5"/>
    <s v="mb"/>
  </r>
  <r>
    <x v="5"/>
    <x v="0"/>
    <n v="-7.125"/>
    <n v="123.815"/>
    <n v="583"/>
    <n v="4.9000000000000004"/>
    <s v="mb"/>
  </r>
  <r>
    <x v="5"/>
    <x v="0"/>
    <n v="-6.8529999999999998"/>
    <n v="123.456"/>
    <n v="646"/>
    <n v="4.9000000000000004"/>
    <s v="mb"/>
  </r>
  <r>
    <x v="5"/>
    <x v="6"/>
    <n v="-6.0810000000000004"/>
    <n v="122.914"/>
    <n v="56"/>
    <n v="5.4"/>
    <s v="mb"/>
  </r>
  <r>
    <x v="6"/>
    <x v="3"/>
    <n v="-7.29"/>
    <n v="123.15"/>
    <n v="578"/>
    <n v="5.3"/>
    <s v="mb"/>
  </r>
  <r>
    <x v="6"/>
    <x v="3"/>
    <n v="-7.1929999999999996"/>
    <n v="120.051"/>
    <n v="557"/>
    <n v="5.4"/>
    <s v="mb"/>
  </r>
  <r>
    <x v="6"/>
    <x v="10"/>
    <n v="-6.8490000000000002"/>
    <n v="125.244"/>
    <n v="529"/>
    <n v="5"/>
    <s v="mb"/>
  </r>
  <r>
    <x v="6"/>
    <x v="0"/>
    <n v="-7.0149999999999997"/>
    <n v="123.381"/>
    <n v="642"/>
    <n v="5.2"/>
    <s v="mb"/>
  </r>
  <r>
    <x v="6"/>
    <x v="11"/>
    <n v="-5.7629999999999999"/>
    <n v="122.76300000000001"/>
    <n v="66"/>
    <n v="4.7"/>
    <s v="mb"/>
  </r>
  <r>
    <x v="6"/>
    <x v="11"/>
    <n v="-6.1449999999999996"/>
    <n v="124.89700000000001"/>
    <n v="615"/>
    <n v="5.2"/>
    <s v="mb"/>
  </r>
  <r>
    <x v="6"/>
    <x v="2"/>
    <n v="-6.8810000000000002"/>
    <n v="124.94"/>
    <n v="555"/>
    <n v="4.9000000000000004"/>
    <s v="mb"/>
  </r>
  <r>
    <x v="6"/>
    <x v="8"/>
    <n v="-7.21"/>
    <n v="120.309"/>
    <n v="567"/>
    <n v="4.8"/>
    <s v="mb"/>
  </r>
  <r>
    <x v="7"/>
    <x v="3"/>
    <n v="-7.1829999999999998"/>
    <n v="123.092"/>
    <n v="616"/>
    <n v="4.5"/>
    <s v="mb"/>
  </r>
  <r>
    <x v="7"/>
    <x v="10"/>
    <n v="-7.3719999999999999"/>
    <n v="120.40900000000001"/>
    <n v="600"/>
    <n v="5"/>
    <s v="mb"/>
  </r>
  <r>
    <x v="7"/>
    <x v="0"/>
    <n v="-6.8650000000000002"/>
    <n v="124.858"/>
    <n v="573"/>
    <n v="4.9000000000000004"/>
    <s v="mb"/>
  </r>
  <r>
    <x v="7"/>
    <x v="0"/>
    <n v="-7.5"/>
    <n v="122.14700000000001"/>
    <n v="170"/>
    <n v="4.5"/>
    <s v="mb"/>
  </r>
  <r>
    <x v="7"/>
    <x v="11"/>
    <n v="-7.1040000000000001"/>
    <n v="124.973"/>
    <n v="558"/>
    <n v="5"/>
    <s v="mb"/>
  </r>
  <r>
    <x v="7"/>
    <x v="5"/>
    <n v="-7.327"/>
    <n v="122.211"/>
    <n v="632"/>
    <n v="4.8"/>
    <s v="mb"/>
  </r>
  <r>
    <x v="7"/>
    <x v="5"/>
    <n v="-7.2149999999999999"/>
    <n v="124.788"/>
    <n v="514"/>
    <n v="5.0999999999999996"/>
    <s v="mb"/>
  </r>
  <r>
    <x v="7"/>
    <x v="6"/>
    <n v="-7.2249999999999996"/>
    <n v="122.10299999999999"/>
    <n v="517"/>
    <n v="4.9000000000000004"/>
    <s v="mb"/>
  </r>
  <r>
    <x v="7"/>
    <x v="8"/>
    <n v="-7.2990000000000004"/>
    <n v="123.191"/>
    <n v="592"/>
    <n v="5.2"/>
    <s v="mb"/>
  </r>
  <r>
    <x v="7"/>
    <x v="8"/>
    <n v="-7.1989999999999998"/>
    <n v="124.753"/>
    <n v="508"/>
    <n v="4.9000000000000004"/>
    <s v="mb"/>
  </r>
  <r>
    <x v="8"/>
    <x v="9"/>
    <n v="-7.2030000000000003"/>
    <n v="120.336"/>
    <n v="593.70000000000005"/>
    <n v="4.5999999999999996"/>
    <s v="mb"/>
  </r>
  <r>
    <x v="8"/>
    <x v="0"/>
    <n v="-6.9470000000000001"/>
    <n v="123.22499999999999"/>
    <n v="648.4"/>
    <n v="5.0999999999999996"/>
    <s v="mb"/>
  </r>
  <r>
    <x v="8"/>
    <x v="1"/>
    <n v="-7.4790000000000001"/>
    <n v="120.211"/>
    <n v="556.79999999999995"/>
    <n v="4.9000000000000004"/>
    <s v="mb"/>
  </r>
  <r>
    <x v="8"/>
    <x v="6"/>
    <n v="-7.0469999999999997"/>
    <n v="125.22"/>
    <n v="529.4"/>
    <n v="5.0999999999999996"/>
    <s v="mb"/>
  </r>
  <r>
    <x v="9"/>
    <x v="7"/>
    <n v="-7.2910000000000004"/>
    <n v="120.31"/>
    <n v="572.5"/>
    <n v="5.5"/>
    <s v="mb"/>
  </r>
  <r>
    <x v="9"/>
    <x v="9"/>
    <n v="-7.242"/>
    <n v="123.066"/>
    <n v="555.29999999999995"/>
    <n v="4.8"/>
    <s v="mb"/>
  </r>
  <r>
    <x v="9"/>
    <x v="10"/>
    <n v="-7.3789999999999996"/>
    <n v="123.749"/>
    <n v="570.79999999999995"/>
    <n v="5.3"/>
    <s v="mb"/>
  </r>
  <r>
    <x v="9"/>
    <x v="10"/>
    <n v="-6.6159999999999997"/>
    <n v="123.34699999999999"/>
    <n v="223.2"/>
    <n v="5"/>
    <s v="mb"/>
  </r>
  <r>
    <x v="9"/>
    <x v="10"/>
    <n v="-7.0949999999999998"/>
    <n v="123.785"/>
    <n v="594.70000000000005"/>
    <n v="5.0999999999999996"/>
    <s v="mb"/>
  </r>
  <r>
    <x v="9"/>
    <x v="11"/>
    <n v="-7.4039999999999999"/>
    <n v="120.30200000000001"/>
    <n v="569.79999999999995"/>
    <n v="5.2"/>
    <s v="mb"/>
  </r>
  <r>
    <x v="9"/>
    <x v="8"/>
    <n v="-6.827"/>
    <n v="125.134"/>
    <n v="557"/>
    <n v="4.7"/>
    <s v="mb"/>
  </r>
  <r>
    <x v="9"/>
    <x v="8"/>
    <n v="-7.2009999999999996"/>
    <n v="120.358"/>
    <n v="33"/>
    <n v="4.8"/>
    <s v="mb"/>
  </r>
  <r>
    <x v="10"/>
    <x v="4"/>
    <n v="-7.2910000000000004"/>
    <n v="124.759"/>
    <n v="524"/>
    <n v="4.5999999999999996"/>
    <s v="mb"/>
  </r>
  <r>
    <x v="10"/>
    <x v="9"/>
    <n v="-7.3220000000000001"/>
    <n v="119.70699999999999"/>
    <n v="575.29999999999995"/>
    <n v="5"/>
    <s v="mb"/>
  </r>
  <r>
    <x v="10"/>
    <x v="9"/>
    <n v="-7.3680000000000003"/>
    <n v="119.54300000000001"/>
    <n v="574"/>
    <n v="4.5"/>
    <s v="mb"/>
  </r>
  <r>
    <x v="10"/>
    <x v="9"/>
    <n v="-7.2709999999999999"/>
    <n v="119.626"/>
    <n v="575"/>
    <n v="4.9000000000000004"/>
    <s v="mb"/>
  </r>
  <r>
    <x v="10"/>
    <x v="10"/>
    <n v="-7.274"/>
    <n v="123.396"/>
    <n v="600.4"/>
    <n v="5.0999999999999996"/>
    <s v="mb"/>
  </r>
  <r>
    <x v="10"/>
    <x v="0"/>
    <n v="-5.9370000000000003"/>
    <n v="122.636"/>
    <n v="46.3"/>
    <n v="5.5"/>
    <s v="mb"/>
  </r>
  <r>
    <x v="10"/>
    <x v="1"/>
    <n v="-7.45"/>
    <n v="119.81399999999999"/>
    <n v="33"/>
    <n v="5.0999999999999996"/>
    <s v="mb"/>
  </r>
  <r>
    <x v="10"/>
    <x v="11"/>
    <n v="-7.5579999999999998"/>
    <n v="124.996"/>
    <n v="409.5"/>
    <n v="4.8"/>
    <s v="mb"/>
  </r>
  <r>
    <x v="10"/>
    <x v="11"/>
    <n v="-7.3540000000000001"/>
    <n v="121.18"/>
    <n v="547.1"/>
    <n v="5.2"/>
    <s v="mb"/>
  </r>
  <r>
    <x v="10"/>
    <x v="5"/>
    <n v="-7.056"/>
    <n v="123.389"/>
    <n v="642.1"/>
    <n v="4.5999999999999996"/>
    <s v="mb"/>
  </r>
  <r>
    <x v="10"/>
    <x v="6"/>
    <n v="-6.38"/>
    <n v="125.26"/>
    <n v="571.6"/>
    <n v="5.3"/>
    <s v="mb"/>
  </r>
  <r>
    <x v="10"/>
    <x v="2"/>
    <n v="-7.2249999999999996"/>
    <n v="120.307"/>
    <n v="567.1"/>
    <n v="5.4"/>
    <s v="mb"/>
  </r>
  <r>
    <x v="11"/>
    <x v="4"/>
    <n v="-6.95"/>
    <n v="125.093"/>
    <n v="518.9"/>
    <n v="4.5999999999999996"/>
    <s v="mb"/>
  </r>
  <r>
    <x v="11"/>
    <x v="7"/>
    <n v="-7.3040000000000003"/>
    <n v="120.151"/>
    <n v="608.5"/>
    <n v="5.5"/>
    <s v="mw"/>
  </r>
  <r>
    <x v="11"/>
    <x v="9"/>
    <n v="-5.6609999999999996"/>
    <n v="124.831"/>
    <n v="601.29999999999995"/>
    <n v="5.9"/>
    <s v="mw"/>
  </r>
  <r>
    <x v="11"/>
    <x v="9"/>
    <n v="-7.343"/>
    <n v="124.304"/>
    <n v="427.9"/>
    <n v="4.8"/>
    <s v="mb"/>
  </r>
  <r>
    <x v="11"/>
    <x v="1"/>
    <n v="-7.2119999999999997"/>
    <n v="121.072"/>
    <n v="575"/>
    <n v="5.5"/>
    <s v="mw"/>
  </r>
  <r>
    <x v="11"/>
    <x v="1"/>
    <n v="-7.2039999999999997"/>
    <n v="124.057"/>
    <n v="554"/>
    <n v="5"/>
    <s v="mb"/>
  </r>
  <r>
    <x v="11"/>
    <x v="11"/>
    <n v="-6.431"/>
    <n v="123.697"/>
    <n v="656.6"/>
    <n v="5.3"/>
    <s v="mw"/>
  </r>
  <r>
    <x v="11"/>
    <x v="11"/>
    <n v="-7.016"/>
    <n v="125.265"/>
    <n v="516.6"/>
    <n v="5"/>
    <s v="mb"/>
  </r>
  <r>
    <x v="11"/>
    <x v="6"/>
    <n v="-7.125"/>
    <n v="124.166"/>
    <n v="617.4"/>
    <n v="4.5999999999999996"/>
    <s v="mb"/>
  </r>
  <r>
    <x v="11"/>
    <x v="2"/>
    <n v="-4.8559999999999999"/>
    <n v="125.18"/>
    <n v="419.1"/>
    <n v="4.7"/>
    <s v="mb"/>
  </r>
  <r>
    <x v="11"/>
    <x v="2"/>
    <n v="-7.4630000000000001"/>
    <n v="122.598"/>
    <n v="33"/>
    <n v="5"/>
    <s v="mb"/>
  </r>
  <r>
    <x v="11"/>
    <x v="2"/>
    <n v="-6.8970000000000002"/>
    <n v="125.048"/>
    <n v="552.9"/>
    <n v="4.5999999999999996"/>
    <s v="mb"/>
  </r>
  <r>
    <x v="12"/>
    <x v="3"/>
    <n v="-7.4610000000000003"/>
    <n v="120.22199999999999"/>
    <n v="391.9"/>
    <n v="4.5"/>
    <s v="mb"/>
  </r>
  <r>
    <x v="12"/>
    <x v="3"/>
    <n v="-7.23"/>
    <n v="120.327"/>
    <n v="563.20000000000005"/>
    <n v="5.0999999999999996"/>
    <s v="mb"/>
  </r>
  <r>
    <x v="12"/>
    <x v="3"/>
    <n v="-7.28"/>
    <n v="120.307"/>
    <n v="573.9"/>
    <n v="4.9000000000000004"/>
    <s v="mb"/>
  </r>
  <r>
    <x v="12"/>
    <x v="4"/>
    <n v="-7.0250000000000004"/>
    <n v="125.114"/>
    <n v="553.5"/>
    <n v="5.4"/>
    <s v="mw"/>
  </r>
  <r>
    <x v="12"/>
    <x v="4"/>
    <n v="-7.4329999999999998"/>
    <n v="124.47499999999999"/>
    <n v="467.9"/>
    <n v="5.3"/>
    <s v="mw"/>
  </r>
  <r>
    <x v="12"/>
    <x v="9"/>
    <n v="-7.1559999999999997"/>
    <n v="123.224"/>
    <n v="600"/>
    <n v="4.7"/>
    <s v="mb"/>
  </r>
  <r>
    <x v="12"/>
    <x v="1"/>
    <n v="-7.2569999999999997"/>
    <n v="124.328"/>
    <n v="562.9"/>
    <n v="4.9000000000000004"/>
    <s v="mb"/>
  </r>
  <r>
    <x v="12"/>
    <x v="6"/>
    <n v="-6.9409999999999998"/>
    <n v="125.04"/>
    <n v="519.9"/>
    <n v="4.9000000000000004"/>
    <s v="mb"/>
  </r>
  <r>
    <x v="12"/>
    <x v="6"/>
    <n v="-7.077"/>
    <n v="124.28400000000001"/>
    <n v="595.5"/>
    <n v="6"/>
    <s v="mw"/>
  </r>
  <r>
    <x v="13"/>
    <x v="3"/>
    <n v="-7.33"/>
    <n v="120.37"/>
    <n v="399.7"/>
    <n v="4.5"/>
    <s v="mb"/>
  </r>
  <r>
    <x v="13"/>
    <x v="4"/>
    <n v="-6.2539999999999996"/>
    <n v="120.108"/>
    <n v="47.2"/>
    <n v="5.3"/>
    <s v="mb"/>
  </r>
  <r>
    <x v="13"/>
    <x v="7"/>
    <n v="-7.4550000000000001"/>
    <n v="120.646"/>
    <n v="613.9"/>
    <n v="5.5"/>
    <s v="mw"/>
  </r>
  <r>
    <x v="13"/>
    <x v="7"/>
    <n v="-7.3559999999999999"/>
    <n v="120.19"/>
    <n v="412"/>
    <n v="5.2"/>
    <s v="mb"/>
  </r>
  <r>
    <x v="13"/>
    <x v="10"/>
    <n v="-7.0720000000000001"/>
    <n v="124.152"/>
    <n v="627.9"/>
    <n v="6"/>
    <s v="mw"/>
  </r>
  <r>
    <x v="13"/>
    <x v="10"/>
    <n v="-6.1310000000000002"/>
    <n v="122.745"/>
    <n v="52.5"/>
    <n v="5.3"/>
    <s v="mb"/>
  </r>
  <r>
    <x v="13"/>
    <x v="1"/>
    <n v="-6.3529999999999998"/>
    <n v="122.825"/>
    <n v="33"/>
    <n v="4.5999999999999996"/>
    <s v="mb"/>
  </r>
  <r>
    <x v="13"/>
    <x v="1"/>
    <n v="-7.2309999999999999"/>
    <n v="122.78100000000001"/>
    <n v="611.9"/>
    <n v="4.5999999999999996"/>
    <s v="mb"/>
  </r>
  <r>
    <x v="13"/>
    <x v="1"/>
    <n v="-6.1369999999999996"/>
    <n v="123.04600000000001"/>
    <n v="33"/>
    <n v="4.8"/>
    <s v="mb"/>
  </r>
  <r>
    <x v="13"/>
    <x v="1"/>
    <n v="-6.1449999999999996"/>
    <n v="122.98399999999999"/>
    <n v="33"/>
    <n v="4.5"/>
    <s v="mb"/>
  </r>
  <r>
    <x v="13"/>
    <x v="5"/>
    <n v="-7.0940000000000003"/>
    <n v="120.173"/>
    <n v="423.8"/>
    <n v="4.9000000000000004"/>
    <s v="mb"/>
  </r>
  <r>
    <x v="13"/>
    <x v="6"/>
    <n v="-6.9509999999999996"/>
    <n v="123.79600000000001"/>
    <n v="641.29999999999995"/>
    <n v="5.4"/>
    <s v="mb"/>
  </r>
  <r>
    <x v="13"/>
    <x v="6"/>
    <n v="-7.2519999999999998"/>
    <n v="122.408"/>
    <n v="573.70000000000005"/>
    <n v="4.9000000000000004"/>
    <s v="mb"/>
  </r>
  <r>
    <x v="13"/>
    <x v="2"/>
    <n v="-6.8540000000000001"/>
    <n v="123.32899999999999"/>
    <n v="632.4"/>
    <n v="5.2"/>
    <s v="mb"/>
  </r>
  <r>
    <x v="13"/>
    <x v="2"/>
    <n v="-7.1509999999999998"/>
    <n v="122.751"/>
    <n v="571.70000000000005"/>
    <n v="4.5999999999999996"/>
    <s v="mb"/>
  </r>
  <r>
    <x v="13"/>
    <x v="2"/>
    <n v="-7.032"/>
    <n v="125.196"/>
    <n v="527.29999999999995"/>
    <n v="4.7"/>
    <s v="mb"/>
  </r>
  <r>
    <x v="13"/>
    <x v="8"/>
    <n v="-5.0380000000000003"/>
    <n v="125.178"/>
    <n v="566.70000000000005"/>
    <n v="5"/>
    <s v="mb"/>
  </r>
  <r>
    <x v="13"/>
    <x v="8"/>
    <n v="-5.9260000000000002"/>
    <n v="122.82599999999999"/>
    <n v="33"/>
    <n v="4.5"/>
    <s v="mb"/>
  </r>
  <r>
    <x v="14"/>
    <x v="4"/>
    <n v="-6.8719999999999999"/>
    <n v="124.774"/>
    <n v="563.29999999999995"/>
    <n v="4.9000000000000004"/>
    <s v="mb"/>
  </r>
  <r>
    <x v="14"/>
    <x v="4"/>
    <n v="-7.3419999999999996"/>
    <n v="120.01900000000001"/>
    <n v="625.79999999999995"/>
    <n v="5.2"/>
    <s v="mb"/>
  </r>
  <r>
    <x v="14"/>
    <x v="9"/>
    <n v="-7.1630000000000003"/>
    <n v="124.629"/>
    <n v="516.6"/>
    <n v="5"/>
    <s v="mb"/>
  </r>
  <r>
    <x v="14"/>
    <x v="9"/>
    <n v="-7.2279999999999998"/>
    <n v="120.256"/>
    <n v="479"/>
    <n v="4.5"/>
    <s v="mb"/>
  </r>
  <r>
    <x v="14"/>
    <x v="10"/>
    <n v="-7.4180000000000001"/>
    <n v="119.959"/>
    <n v="401.2"/>
    <n v="4.5"/>
    <s v="mb"/>
  </r>
  <r>
    <x v="14"/>
    <x v="1"/>
    <n v="-4.8739999999999997"/>
    <n v="123.53700000000001"/>
    <n v="33"/>
    <n v="5.0999999999999996"/>
    <s v="mb"/>
  </r>
  <r>
    <x v="14"/>
    <x v="1"/>
    <n v="-7.1539999999999999"/>
    <n v="120.751"/>
    <n v="485.2"/>
    <n v="5.2"/>
    <s v="mw"/>
  </r>
  <r>
    <x v="14"/>
    <x v="11"/>
    <n v="-6.85"/>
    <n v="125.161"/>
    <n v="542.5"/>
    <n v="4.5"/>
    <s v="mb"/>
  </r>
  <r>
    <x v="14"/>
    <x v="5"/>
    <n v="-7.1230000000000002"/>
    <n v="123.29"/>
    <n v="603.6"/>
    <n v="5.5"/>
    <s v="mw"/>
  </r>
  <r>
    <x v="14"/>
    <x v="6"/>
    <n v="-7.3929999999999998"/>
    <n v="119.98699999999999"/>
    <n v="629.9"/>
    <n v="4.8"/>
    <s v="mb"/>
  </r>
  <r>
    <x v="14"/>
    <x v="2"/>
    <n v="-7.2329999999999997"/>
    <n v="125.28700000000001"/>
    <n v="524.6"/>
    <n v="4.9000000000000004"/>
    <s v="mb"/>
  </r>
  <r>
    <x v="14"/>
    <x v="2"/>
    <n v="-7.0659999999999998"/>
    <n v="123.218"/>
    <n v="649.79999999999995"/>
    <n v="5.2"/>
    <s v="mw"/>
  </r>
  <r>
    <x v="14"/>
    <x v="2"/>
    <n v="-7.077"/>
    <n v="123.283"/>
    <n v="653.79999999999995"/>
    <n v="4.5999999999999996"/>
    <s v="mb"/>
  </r>
  <r>
    <x v="15"/>
    <x v="7"/>
    <n v="-7.2729999999999997"/>
    <n v="122.28100000000001"/>
    <n v="613"/>
    <n v="5.6"/>
    <s v="mb"/>
  </r>
  <r>
    <x v="15"/>
    <x v="7"/>
    <n v="-7.3390000000000004"/>
    <n v="122.238"/>
    <n v="631.9"/>
    <n v="5.4"/>
    <s v="mb"/>
  </r>
  <r>
    <x v="15"/>
    <x v="7"/>
    <n v="-6.8959999999999999"/>
    <n v="125.054"/>
    <n v="540.79999999999995"/>
    <n v="5.2"/>
    <s v="mb"/>
  </r>
  <r>
    <x v="15"/>
    <x v="7"/>
    <n v="-6.9089999999999998"/>
    <n v="124.971"/>
    <n v="529.4"/>
    <n v="5.2"/>
    <s v="mb"/>
  </r>
  <r>
    <x v="15"/>
    <x v="7"/>
    <n v="-7.351"/>
    <n v="121.812"/>
    <n v="293.5"/>
    <n v="4.5999999999999996"/>
    <s v="mb"/>
  </r>
  <r>
    <x v="15"/>
    <x v="10"/>
    <n v="-7.202"/>
    <n v="123.871"/>
    <n v="577.6"/>
    <n v="5.3"/>
    <s v="mw"/>
  </r>
  <r>
    <x v="15"/>
    <x v="10"/>
    <n v="-7.1829999999999998"/>
    <n v="124.765"/>
    <n v="554.1"/>
    <n v="5.2"/>
    <s v="mb"/>
  </r>
  <r>
    <x v="15"/>
    <x v="0"/>
    <n v="-7.1520000000000001"/>
    <n v="120.465"/>
    <n v="566.5"/>
    <n v="5.0999999999999996"/>
    <s v="mb"/>
  </r>
  <r>
    <x v="15"/>
    <x v="0"/>
    <n v="-7.2290000000000001"/>
    <n v="120.26"/>
    <n v="391.7"/>
    <n v="4.7"/>
    <s v="mb"/>
  </r>
  <r>
    <x v="15"/>
    <x v="1"/>
    <n v="-7.3419999999999996"/>
    <n v="120.19"/>
    <n v="424.1"/>
    <n v="5.7"/>
    <s v="mw"/>
  </r>
  <r>
    <x v="15"/>
    <x v="5"/>
    <n v="-6.8550000000000004"/>
    <n v="122.434"/>
    <n v="268.89999999999998"/>
    <n v="4.9000000000000004"/>
    <s v="mb"/>
  </r>
  <r>
    <x v="15"/>
    <x v="6"/>
    <n v="-7.3810000000000002"/>
    <n v="120.295"/>
    <n v="595.6"/>
    <n v="5.8"/>
    <s v="mw"/>
  </r>
  <r>
    <x v="15"/>
    <x v="2"/>
    <n v="-5.8250000000000002"/>
    <n v="125.116"/>
    <n v="31.3"/>
    <n v="4.8"/>
    <s v="mb"/>
  </r>
  <r>
    <x v="15"/>
    <x v="2"/>
    <n v="-7.4669999999999996"/>
    <n v="123.392"/>
    <n v="290.60000000000002"/>
    <n v="4.5999999999999996"/>
    <s v="mb"/>
  </r>
  <r>
    <x v="15"/>
    <x v="8"/>
    <n v="-6.9450000000000003"/>
    <n v="123.39100000000001"/>
    <n v="612.20000000000005"/>
    <n v="4.7"/>
    <s v="mb"/>
  </r>
  <r>
    <x v="15"/>
    <x v="8"/>
    <n v="-6.9889999999999999"/>
    <n v="123.28"/>
    <n v="612.29999999999995"/>
    <n v="4.8"/>
    <s v="mb"/>
  </r>
  <r>
    <x v="15"/>
    <x v="8"/>
    <n v="-6.9930000000000003"/>
    <n v="123.4"/>
    <n v="626.20000000000005"/>
    <n v="5.2"/>
    <s v="mb"/>
  </r>
  <r>
    <x v="15"/>
    <x v="8"/>
    <n v="-7.101"/>
    <n v="123.386"/>
    <n v="625.9"/>
    <n v="5.4"/>
    <s v="mw"/>
  </r>
  <r>
    <x v="15"/>
    <x v="8"/>
    <n v="-6.9569999999999999"/>
    <n v="123.374"/>
    <n v="626.1"/>
    <n v="4.5"/>
    <s v="mb"/>
  </r>
  <r>
    <x v="16"/>
    <x v="4"/>
    <n v="-7.3289999999999997"/>
    <n v="121.626"/>
    <n v="506.5"/>
    <n v="5"/>
    <s v="mb"/>
  </r>
  <r>
    <x v="16"/>
    <x v="9"/>
    <n v="-7.32"/>
    <n v="120.69199999999999"/>
    <n v="490.1"/>
    <n v="4.5999999999999996"/>
    <s v="mb"/>
  </r>
  <r>
    <x v="16"/>
    <x v="0"/>
    <n v="-6.9740000000000002"/>
    <n v="122.407"/>
    <n v="33"/>
    <n v="4.5999999999999996"/>
    <s v="mb"/>
  </r>
  <r>
    <x v="16"/>
    <x v="1"/>
    <n v="-7.1909999999999998"/>
    <n v="122.715"/>
    <n v="620.29999999999995"/>
    <n v="5.8"/>
    <s v="mw"/>
  </r>
  <r>
    <x v="16"/>
    <x v="11"/>
    <n v="-7.2370000000000001"/>
    <n v="122.68899999999999"/>
    <n v="632.20000000000005"/>
    <n v="5.4"/>
    <s v="mb"/>
  </r>
  <r>
    <x v="16"/>
    <x v="8"/>
    <n v="-6.09"/>
    <n v="122.69199999999999"/>
    <n v="33"/>
    <n v="4.7"/>
    <s v="mb"/>
  </r>
  <r>
    <x v="16"/>
    <x v="8"/>
    <n v="-6.99"/>
    <n v="124.807"/>
    <n v="551.5"/>
    <n v="5.3"/>
    <s v="mw"/>
  </r>
  <r>
    <x v="17"/>
    <x v="3"/>
    <n v="-7.1829999999999998"/>
    <n v="125.242"/>
    <n v="527.1"/>
    <n v="5.3"/>
    <s v="mw"/>
  </r>
  <r>
    <x v="17"/>
    <x v="10"/>
    <n v="-7.3630000000000004"/>
    <n v="120.363"/>
    <n v="588.9"/>
    <n v="7.1"/>
    <s v="mw"/>
  </r>
  <r>
    <x v="17"/>
    <x v="10"/>
    <n v="-7.4329999999999998"/>
    <n v="120.426"/>
    <n v="636.29999999999995"/>
    <n v="4.5999999999999996"/>
    <s v="mb"/>
  </r>
  <r>
    <x v="17"/>
    <x v="0"/>
    <n v="-7.0039999999999996"/>
    <n v="125.074"/>
    <n v="567"/>
    <n v="5"/>
    <s v="mb"/>
  </r>
  <r>
    <x v="17"/>
    <x v="1"/>
    <n v="-7.2229999999999999"/>
    <n v="120.5"/>
    <n v="521.79999999999995"/>
    <n v="4.9000000000000004"/>
    <s v="mb"/>
  </r>
  <r>
    <x v="17"/>
    <x v="5"/>
    <n v="-6.7169999999999996"/>
    <n v="124.82899999999999"/>
    <n v="590.29999999999995"/>
    <n v="4.5999999999999996"/>
    <s v="mb"/>
  </r>
  <r>
    <x v="17"/>
    <x v="5"/>
    <n v="-7.0149999999999997"/>
    <n v="124.913"/>
    <n v="546.5"/>
    <n v="5"/>
    <s v="mb"/>
  </r>
  <r>
    <x v="17"/>
    <x v="5"/>
    <n v="-6.2229999999999999"/>
    <n v="124.28700000000001"/>
    <n v="35.5"/>
    <n v="5.2"/>
    <s v="mb"/>
  </r>
  <r>
    <x v="17"/>
    <x v="5"/>
    <n v="-6.2779999999999996"/>
    <n v="124.294"/>
    <n v="33"/>
    <n v="5.2"/>
    <s v="mb"/>
  </r>
  <r>
    <x v="17"/>
    <x v="6"/>
    <n v="-7.202"/>
    <n v="122.996"/>
    <n v="544.79999999999995"/>
    <n v="5"/>
    <s v="mb"/>
  </r>
  <r>
    <x v="18"/>
    <x v="10"/>
    <n v="-7.3289999999999997"/>
    <n v="120.416"/>
    <n v="495.2"/>
    <n v="4.9000000000000004"/>
    <s v="mb"/>
  </r>
  <r>
    <x v="18"/>
    <x v="10"/>
    <n v="-7.4950000000000001"/>
    <n v="119.423"/>
    <n v="272.39999999999998"/>
    <n v="4.5"/>
    <s v="mb"/>
  </r>
  <r>
    <x v="18"/>
    <x v="0"/>
    <n v="-7.2039999999999997"/>
    <n v="122.533"/>
    <n v="536.4"/>
    <n v="6.9"/>
    <s v="mw"/>
  </r>
  <r>
    <x v="18"/>
    <x v="1"/>
    <n v="-7.2359999999999998"/>
    <n v="122.354"/>
    <n v="550"/>
    <n v="5.3"/>
    <s v="mb"/>
  </r>
  <r>
    <x v="18"/>
    <x v="11"/>
    <n v="-6.9180000000000001"/>
    <n v="124.67700000000001"/>
    <n v="579.79999999999995"/>
    <n v="4.5"/>
    <s v="mb"/>
  </r>
  <r>
    <x v="18"/>
    <x v="5"/>
    <n v="-7.22"/>
    <n v="123.76900000000001"/>
    <n v="604.4"/>
    <n v="5.0999999999999996"/>
    <s v="mb"/>
  </r>
  <r>
    <x v="18"/>
    <x v="5"/>
    <n v="-6.8849999999999998"/>
    <n v="125.24299999999999"/>
    <n v="556.29999999999995"/>
    <n v="5"/>
    <s v="mb"/>
  </r>
  <r>
    <x v="18"/>
    <x v="5"/>
    <n v="-7.22"/>
    <n v="125.15300000000001"/>
    <n v="401.7"/>
    <n v="4.8"/>
    <s v="mb"/>
  </r>
  <r>
    <x v="18"/>
    <x v="5"/>
    <n v="-7.3869999999999996"/>
    <n v="119.468"/>
    <n v="242.1"/>
    <n v="4.9000000000000004"/>
    <s v="mb"/>
  </r>
  <r>
    <x v="18"/>
    <x v="8"/>
    <n v="-6.7480000000000002"/>
    <n v="125.25"/>
    <n v="533.1"/>
    <n v="4.9000000000000004"/>
    <s v="mb"/>
  </r>
  <r>
    <x v="18"/>
    <x v="8"/>
    <n v="-7.149"/>
    <n v="125.17400000000001"/>
    <n v="525.20000000000005"/>
    <n v="4.8"/>
    <s v="mb"/>
  </r>
  <r>
    <x v="18"/>
    <x v="8"/>
    <n v="-7.5330000000000004"/>
    <n v="122.83799999999999"/>
    <n v="262"/>
    <n v="4.5999999999999996"/>
    <s v="mb"/>
  </r>
  <r>
    <x v="19"/>
    <x v="7"/>
    <n v="-7.28"/>
    <n v="122.46299999999999"/>
    <n v="556.4"/>
    <n v="5"/>
    <s v="mb"/>
  </r>
  <r>
    <x v="19"/>
    <x v="7"/>
    <n v="-7.4450000000000003"/>
    <n v="124.732"/>
    <n v="386.7"/>
    <n v="5.0999999999999996"/>
    <s v="mw"/>
  </r>
  <r>
    <x v="19"/>
    <x v="7"/>
    <n v="-7.0990000000000002"/>
    <n v="124.19499999999999"/>
    <n v="610.70000000000005"/>
    <n v="5.2"/>
    <s v="mw"/>
  </r>
  <r>
    <x v="19"/>
    <x v="9"/>
    <n v="-6.5090000000000003"/>
    <n v="124.31699999999999"/>
    <n v="597.4"/>
    <n v="4.9000000000000004"/>
    <s v="mb"/>
  </r>
  <r>
    <x v="19"/>
    <x v="10"/>
    <n v="-7.4279999999999999"/>
    <n v="125.233"/>
    <n v="326"/>
    <n v="4.5"/>
    <s v="mb"/>
  </r>
  <r>
    <x v="19"/>
    <x v="0"/>
    <n v="-7.1440000000000001"/>
    <n v="125.09099999999999"/>
    <n v="507.7"/>
    <n v="4.9000000000000004"/>
    <s v="mb"/>
  </r>
  <r>
    <x v="19"/>
    <x v="1"/>
    <n v="-7.1130000000000004"/>
    <n v="125.063"/>
    <n v="492.4"/>
    <n v="5.2"/>
    <s v="mb"/>
  </r>
  <r>
    <x v="19"/>
    <x v="11"/>
    <n v="-7.1260000000000003"/>
    <n v="121.748"/>
    <n v="485.9"/>
    <n v="6.6"/>
    <s v="mwb"/>
  </r>
  <r>
    <x v="19"/>
    <x v="5"/>
    <n v="-7.32"/>
    <n v="120.35599999999999"/>
    <n v="638.5"/>
    <n v="5"/>
    <s v="mb"/>
  </r>
  <r>
    <x v="19"/>
    <x v="6"/>
    <n v="-7.407"/>
    <n v="120.321"/>
    <n v="657.6"/>
    <n v="4.7"/>
    <s v="mb"/>
  </r>
  <r>
    <x v="19"/>
    <x v="8"/>
    <n v="-7.3179999999999996"/>
    <n v="120.33799999999999"/>
    <n v="398.9"/>
    <n v="4.7"/>
    <s v="mb"/>
  </r>
  <r>
    <x v="19"/>
    <x v="8"/>
    <n v="-7.0259999999999998"/>
    <n v="122.97"/>
    <n v="33"/>
    <n v="4.7"/>
    <s v="mb"/>
  </r>
  <r>
    <x v="19"/>
    <x v="8"/>
    <n v="-7.5289999999999999"/>
    <n v="120.803"/>
    <n v="39.4"/>
    <n v="4.9000000000000004"/>
    <s v="mb"/>
  </r>
  <r>
    <x v="20"/>
    <x v="0"/>
    <n v="-4.548"/>
    <n v="119.94799999999999"/>
    <n v="60"/>
    <n v="5"/>
    <s v="mb"/>
  </r>
  <r>
    <x v="20"/>
    <x v="0"/>
    <n v="-5.2430000000000003"/>
    <n v="123.535"/>
    <n v="33"/>
    <n v="5"/>
    <s v="mb"/>
  </r>
  <r>
    <x v="20"/>
    <x v="0"/>
    <n v="-7.4930000000000003"/>
    <n v="118.962"/>
    <n v="39.799999999999997"/>
    <n v="4.8"/>
    <s v="mb"/>
  </r>
  <r>
    <x v="20"/>
    <x v="0"/>
    <n v="-7.1769999999999996"/>
    <n v="120.27200000000001"/>
    <n v="585.70000000000005"/>
    <n v="4.9000000000000004"/>
    <s v="mb"/>
  </r>
  <r>
    <x v="20"/>
    <x v="11"/>
    <n v="-6.069"/>
    <n v="125.06399999999999"/>
    <n v="592.5"/>
    <n v="5.0999999999999996"/>
    <s v="mb"/>
  </r>
  <r>
    <x v="20"/>
    <x v="5"/>
    <n v="-6.8179999999999996"/>
    <n v="125.246"/>
    <n v="525.4"/>
    <n v="4.8"/>
    <s v="mb"/>
  </r>
  <r>
    <x v="20"/>
    <x v="6"/>
    <n v="-7.2750000000000004"/>
    <n v="119.75"/>
    <n v="447.8"/>
    <n v="5.0999999999999996"/>
    <s v="mb"/>
  </r>
  <r>
    <x v="21"/>
    <x v="7"/>
    <n v="-6.09"/>
    <n v="123.489"/>
    <n v="638.4"/>
    <n v="4.7"/>
    <s v="mb"/>
  </r>
  <r>
    <x v="21"/>
    <x v="9"/>
    <n v="-7.2619999999999996"/>
    <n v="119.17"/>
    <n v="606.29999999999995"/>
    <n v="4.9000000000000004"/>
    <s v="mb"/>
  </r>
  <r>
    <x v="21"/>
    <x v="9"/>
    <n v="-7.2640000000000002"/>
    <n v="120.425"/>
    <n v="553.1"/>
    <n v="5"/>
    <s v="mb"/>
  </r>
  <r>
    <x v="21"/>
    <x v="10"/>
    <n v="-7.2910000000000004"/>
    <n v="123.36199999999999"/>
    <n v="601.5"/>
    <n v="4.8"/>
    <s v="mb"/>
  </r>
  <r>
    <x v="21"/>
    <x v="0"/>
    <n v="-7.5350000000000001"/>
    <n v="120.074"/>
    <n v="414.7"/>
    <n v="5"/>
    <s v="mb"/>
  </r>
  <r>
    <x v="21"/>
    <x v="1"/>
    <n v="-7.3869999999999996"/>
    <n v="119.771"/>
    <n v="433.6"/>
    <n v="5.0999999999999996"/>
    <s v="mb"/>
  </r>
  <r>
    <x v="21"/>
    <x v="11"/>
    <n v="-7.2140000000000004"/>
    <n v="120.501"/>
    <n v="551.4"/>
    <n v="4.9000000000000004"/>
    <s v="mb"/>
  </r>
  <r>
    <x v="21"/>
    <x v="11"/>
    <n v="-6.9649999999999999"/>
    <n v="124.111"/>
    <n v="595.6"/>
    <n v="6.2"/>
    <s v="mw"/>
  </r>
  <r>
    <x v="22"/>
    <x v="3"/>
    <n v="-6.9160000000000004"/>
    <n v="118.723"/>
    <n v="149.69999999999999"/>
    <n v="4.5999999999999996"/>
    <s v="mb"/>
  </r>
  <r>
    <x v="22"/>
    <x v="4"/>
    <n v="-7.2990000000000004"/>
    <n v="122.363"/>
    <n v="494.5"/>
    <n v="4.5999999999999996"/>
    <s v="mb"/>
  </r>
  <r>
    <x v="22"/>
    <x v="10"/>
    <n v="-5.8650000000000002"/>
    <n v="125.163"/>
    <n v="583.1"/>
    <n v="4.5999999999999996"/>
    <s v="mb"/>
  </r>
  <r>
    <x v="22"/>
    <x v="10"/>
    <n v="-7.08"/>
    <n v="125.117"/>
    <n v="520.6"/>
    <n v="4.9000000000000004"/>
    <s v="mb"/>
  </r>
  <r>
    <x v="22"/>
    <x v="10"/>
    <n v="-6.992"/>
    <n v="123.66500000000001"/>
    <n v="630.6"/>
    <n v="5.2"/>
    <s v="mw"/>
  </r>
  <r>
    <x v="22"/>
    <x v="11"/>
    <n v="-6.992"/>
    <n v="124.84099999999999"/>
    <n v="572.29999999999995"/>
    <n v="4.5999999999999996"/>
    <s v="mb"/>
  </r>
  <r>
    <x v="22"/>
    <x v="6"/>
    <n v="-7.0810000000000004"/>
    <n v="123.667"/>
    <n v="637.70000000000005"/>
    <n v="5.6"/>
    <s v="mw"/>
  </r>
  <r>
    <x v="22"/>
    <x v="6"/>
    <n v="-6.9059999999999997"/>
    <n v="123.47799999999999"/>
    <n v="610.1"/>
    <n v="4.9000000000000004"/>
    <s v="mb"/>
  </r>
  <r>
    <x v="22"/>
    <x v="8"/>
    <n v="-7.26"/>
    <n v="120.30800000000001"/>
    <n v="600"/>
    <n v="4.7"/>
    <s v="mb"/>
  </r>
  <r>
    <x v="23"/>
    <x v="3"/>
    <n v="-7.0709999999999997"/>
    <n v="123.28400000000001"/>
    <n v="610.1"/>
    <n v="4.7"/>
    <s v="mb"/>
  </r>
  <r>
    <x v="23"/>
    <x v="3"/>
    <n v="-6.9219999999999997"/>
    <n v="125.256"/>
    <n v="523.70000000000005"/>
    <n v="5.2"/>
    <s v="mb"/>
  </r>
  <r>
    <x v="23"/>
    <x v="3"/>
    <n v="-7.0250000000000004"/>
    <n v="124.795"/>
    <n v="516"/>
    <n v="4.8"/>
    <s v="mb"/>
  </r>
  <r>
    <x v="23"/>
    <x v="4"/>
    <n v="-6.9450000000000003"/>
    <n v="125.194"/>
    <n v="532.1"/>
    <n v="5.8"/>
    <s v="mb"/>
  </r>
  <r>
    <x v="23"/>
    <x v="0"/>
    <n v="-7.1369999999999996"/>
    <n v="122.589"/>
    <n v="587.29999999999995"/>
    <n v="7.9"/>
    <s v="mwc"/>
  </r>
  <r>
    <x v="23"/>
    <x v="0"/>
    <n v="-7.4450000000000003"/>
    <n v="122.691"/>
    <n v="600"/>
    <n v="5.2"/>
    <s v="mb"/>
  </r>
  <r>
    <x v="23"/>
    <x v="0"/>
    <n v="-7.2389999999999999"/>
    <n v="122.209"/>
    <n v="600"/>
    <n v="4.7"/>
    <s v="mb"/>
  </r>
  <r>
    <x v="23"/>
    <x v="0"/>
    <n v="-7.1749999999999998"/>
    <n v="122.92"/>
    <n v="600"/>
    <n v="4.5"/>
    <s v="mb"/>
  </r>
  <r>
    <x v="23"/>
    <x v="0"/>
    <n v="-7.3559999999999999"/>
    <n v="122.297"/>
    <n v="600"/>
    <n v="4.5"/>
    <s v="mb"/>
  </r>
  <r>
    <x v="23"/>
    <x v="0"/>
    <n v="-7.2480000000000002"/>
    <n v="122.892"/>
    <n v="600"/>
    <n v="5.0999999999999996"/>
    <s v="mb"/>
  </r>
  <r>
    <x v="23"/>
    <x v="0"/>
    <n v="-7.4240000000000004"/>
    <n v="122.40300000000001"/>
    <n v="600"/>
    <n v="4.5999999999999996"/>
    <s v="mb"/>
  </r>
  <r>
    <x v="23"/>
    <x v="0"/>
    <n v="-7.1289999999999996"/>
    <n v="122.34399999999999"/>
    <n v="570.5"/>
    <n v="5.3"/>
    <s v="mb"/>
  </r>
  <r>
    <x v="23"/>
    <x v="1"/>
    <n v="-7.1479999999999997"/>
    <n v="122.395"/>
    <n v="600"/>
    <n v="5.4"/>
    <s v="mwc"/>
  </r>
  <r>
    <x v="23"/>
    <x v="11"/>
    <n v="-6.5419999999999998"/>
    <n v="123.163"/>
    <n v="550"/>
    <n v="5"/>
    <s v="mb"/>
  </r>
  <r>
    <x v="23"/>
    <x v="11"/>
    <n v="-7.1239999999999997"/>
    <n v="123.27500000000001"/>
    <n v="595.70000000000005"/>
    <n v="6"/>
    <s v="mwb"/>
  </r>
  <r>
    <x v="23"/>
    <x v="6"/>
    <n v="-7.2110000000000003"/>
    <n v="124.142"/>
    <n v="565.4"/>
    <n v="4.7"/>
    <s v="mb"/>
  </r>
  <r>
    <x v="23"/>
    <x v="6"/>
    <n v="-7.2320000000000002"/>
    <n v="122.979"/>
    <n v="600"/>
    <n v="4.8"/>
    <s v="mb"/>
  </r>
  <r>
    <x v="24"/>
    <x v="3"/>
    <n v="-7.0309999999999997"/>
    <n v="124.117"/>
    <n v="500"/>
    <n v="4.8"/>
    <s v="mb"/>
  </r>
  <r>
    <x v="24"/>
    <x v="3"/>
    <n v="-7.1159999999999997"/>
    <n v="122.61199999999999"/>
    <n v="578.5"/>
    <n v="5.3"/>
    <s v="mwc"/>
  </r>
  <r>
    <x v="24"/>
    <x v="3"/>
    <n v="-7.032"/>
    <n v="125.274"/>
    <n v="550"/>
    <n v="4.9000000000000004"/>
    <s v="mb"/>
  </r>
  <r>
    <x v="24"/>
    <x v="3"/>
    <n v="-7.492"/>
    <n v="120.902"/>
    <n v="600"/>
    <n v="4.8"/>
    <s v="mb"/>
  </r>
  <r>
    <x v="24"/>
    <x v="7"/>
    <n v="-7.2930000000000001"/>
    <n v="120.968"/>
    <n v="500"/>
    <n v="4.8"/>
    <s v="mb"/>
  </r>
  <r>
    <x v="24"/>
    <x v="7"/>
    <n v="-5.6719999999999997"/>
    <n v="123.94199999999999"/>
    <n v="33"/>
    <n v="4.5999999999999996"/>
    <s v="mb"/>
  </r>
  <r>
    <x v="24"/>
    <x v="9"/>
    <n v="-7.2009999999999996"/>
    <n v="120.146"/>
    <n v="350"/>
    <n v="4.5"/>
    <s v="mb"/>
  </r>
  <r>
    <x v="24"/>
    <x v="10"/>
    <n v="-7.375"/>
    <n v="120.389"/>
    <n v="100"/>
    <n v="4.5"/>
    <s v="mb"/>
  </r>
  <r>
    <x v="24"/>
    <x v="0"/>
    <n v="-7.3609999999999998"/>
    <n v="120.27200000000001"/>
    <n v="440.2"/>
    <n v="4.5"/>
    <s v="mb"/>
  </r>
  <r>
    <x v="24"/>
    <x v="1"/>
    <n v="-7.3090000000000002"/>
    <n v="120.369"/>
    <n v="586.5"/>
    <n v="5.2"/>
    <s v="mb"/>
  </r>
  <r>
    <x v="24"/>
    <x v="5"/>
    <n v="-7.1970000000000001"/>
    <n v="120.342"/>
    <n v="600"/>
    <n v="4.9000000000000004"/>
    <s v="mb"/>
  </r>
  <r>
    <x v="24"/>
    <x v="8"/>
    <n v="-5.8680000000000003"/>
    <n v="125.093"/>
    <n v="33"/>
    <n v="4.7"/>
    <s v="mb"/>
  </r>
  <r>
    <x v="25"/>
    <x v="10"/>
    <n v="-7.4560000000000004"/>
    <n v="119.94499999999999"/>
    <n v="450"/>
    <n v="4.5999999999999996"/>
    <s v="mb"/>
  </r>
  <r>
    <x v="25"/>
    <x v="10"/>
    <n v="-7.2229999999999999"/>
    <n v="120.29600000000001"/>
    <n v="585"/>
    <n v="5.0999999999999996"/>
    <s v="mb"/>
  </r>
  <r>
    <x v="25"/>
    <x v="0"/>
    <n v="-6.5540000000000003"/>
    <n v="124.995"/>
    <n v="589.70000000000005"/>
    <n v="4.9000000000000004"/>
    <s v="mb"/>
  </r>
  <r>
    <x v="25"/>
    <x v="0"/>
    <n v="-5.6379999999999999"/>
    <n v="122.545"/>
    <n v="33"/>
    <n v="4.5999999999999996"/>
    <s v="mb"/>
  </r>
  <r>
    <x v="25"/>
    <x v="1"/>
    <n v="-7.1360000000000001"/>
    <n v="124.77"/>
    <n v="565.29999999999995"/>
    <n v="4.5"/>
    <s v="mb"/>
  </r>
  <r>
    <x v="25"/>
    <x v="1"/>
    <n v="-7.202"/>
    <n v="120.401"/>
    <n v="600"/>
    <n v="5.0999999999999996"/>
    <s v="mb"/>
  </r>
  <r>
    <x v="25"/>
    <x v="1"/>
    <n v="-6.4059999999999997"/>
    <n v="123.569"/>
    <n v="33"/>
    <n v="5.0999999999999996"/>
    <s v="mwc"/>
  </r>
  <r>
    <x v="25"/>
    <x v="2"/>
    <n v="-5.2089999999999996"/>
    <n v="123.154"/>
    <n v="33"/>
    <n v="4.5"/>
    <s v="mb"/>
  </r>
  <r>
    <x v="25"/>
    <x v="8"/>
    <n v="-7.101"/>
    <n v="120.172"/>
    <n v="593.79999999999995"/>
    <n v="4.7"/>
    <s v="mb"/>
  </r>
  <r>
    <x v="25"/>
    <x v="8"/>
    <n v="-7.2169999999999996"/>
    <n v="120.733"/>
    <n v="508.6"/>
    <n v="4.5"/>
    <s v="mb"/>
  </r>
  <r>
    <x v="26"/>
    <x v="4"/>
    <n v="-7.19"/>
    <n v="120.429"/>
    <n v="593.70000000000005"/>
    <n v="4.5999999999999996"/>
    <s v="mb"/>
  </r>
  <r>
    <x v="26"/>
    <x v="4"/>
    <n v="-6.8029999999999999"/>
    <n v="125.152"/>
    <n v="542.70000000000005"/>
    <n v="4.7"/>
    <s v="mb"/>
  </r>
  <r>
    <x v="26"/>
    <x v="7"/>
    <n v="-7.4770000000000003"/>
    <n v="123.402"/>
    <n v="379.5"/>
    <n v="5.4"/>
    <s v="mwc"/>
  </r>
  <r>
    <x v="26"/>
    <x v="5"/>
    <n v="-4.5519999999999996"/>
    <n v="123.13"/>
    <n v="33"/>
    <n v="4.5999999999999996"/>
    <s v="mb"/>
  </r>
  <r>
    <x v="26"/>
    <x v="5"/>
    <n v="-6.976"/>
    <n v="124.65300000000001"/>
    <n v="469.3"/>
    <n v="4.5999999999999996"/>
    <s v="mb"/>
  </r>
  <r>
    <x v="26"/>
    <x v="6"/>
    <n v="-7.3209999999999997"/>
    <n v="120.44"/>
    <n v="515"/>
    <n v="4.7"/>
    <s v="mb"/>
  </r>
  <r>
    <x v="26"/>
    <x v="6"/>
    <n v="-7.1379999999999999"/>
    <n v="124.98699999999999"/>
    <n v="516.29999999999995"/>
    <n v="4.8"/>
    <s v="mb"/>
  </r>
  <r>
    <x v="26"/>
    <x v="6"/>
    <n v="-7.3410000000000002"/>
    <n v="123.919"/>
    <n v="558.5"/>
    <n v="4.7"/>
    <s v="mb"/>
  </r>
  <r>
    <x v="27"/>
    <x v="3"/>
    <n v="-7.4850000000000003"/>
    <n v="122.678"/>
    <n v="574.9"/>
    <n v="5.5"/>
    <s v="mwc"/>
  </r>
  <r>
    <x v="27"/>
    <x v="0"/>
    <n v="-7.33"/>
    <n v="123.68899999999999"/>
    <n v="600"/>
    <n v="4.7"/>
    <s v="mb"/>
  </r>
  <r>
    <x v="27"/>
    <x v="11"/>
    <n v="-7.0179999999999998"/>
    <n v="123.357"/>
    <n v="648.5"/>
    <n v="6.5"/>
    <s v="mwc"/>
  </r>
  <r>
    <x v="27"/>
    <x v="11"/>
    <n v="-7.1420000000000003"/>
    <n v="123.434"/>
    <n v="675.5"/>
    <n v="4.5999999999999996"/>
    <s v="mb"/>
  </r>
  <r>
    <x v="27"/>
    <x v="11"/>
    <n v="-7.1130000000000004"/>
    <n v="124.639"/>
    <n v="580.1"/>
    <n v="4.5"/>
    <s v="mb"/>
  </r>
  <r>
    <x v="27"/>
    <x v="11"/>
    <n v="-5.7869999999999999"/>
    <n v="123.309"/>
    <n v="33"/>
    <n v="5.2"/>
    <s v="mwc"/>
  </r>
  <r>
    <x v="27"/>
    <x v="11"/>
    <n v="-6.0309999999999997"/>
    <n v="122.836"/>
    <n v="10"/>
    <n v="4.8"/>
    <s v="mb"/>
  </r>
  <r>
    <x v="27"/>
    <x v="5"/>
    <n v="-7.3220000000000001"/>
    <n v="120.65900000000001"/>
    <n v="602.1"/>
    <n v="4.5999999999999996"/>
    <s v="mb"/>
  </r>
  <r>
    <x v="27"/>
    <x v="6"/>
    <n v="-7.1130000000000004"/>
    <n v="124.82599999999999"/>
    <n v="558.79999999999995"/>
    <n v="4.8"/>
    <s v="mb"/>
  </r>
  <r>
    <x v="27"/>
    <x v="8"/>
    <n v="-7.27"/>
    <n v="121.17100000000001"/>
    <n v="541.5"/>
    <n v="4.5"/>
    <s v="mb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1C5E154-3045-4BF7-A629-42D70665180E}" name="PivotTable9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:B30" firstHeaderRow="1" firstDataRow="1" firstDataCol="1"/>
  <pivotFields count="7">
    <pivotField axis="axisRow" showAll="0">
      <items count="2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t="default"/>
      </items>
    </pivotField>
    <pivotField showAll="0">
      <items count="13">
        <item x="3"/>
        <item x="4"/>
        <item x="7"/>
        <item x="9"/>
        <item x="10"/>
        <item x="0"/>
        <item x="1"/>
        <item x="11"/>
        <item x="5"/>
        <item x="6"/>
        <item x="2"/>
        <item x="8"/>
        <item t="default"/>
      </items>
    </pivotField>
    <pivotField showAll="0"/>
    <pivotField showAll="0"/>
    <pivotField showAll="0"/>
    <pivotField showAll="0"/>
    <pivotField dataField="1" showAll="0"/>
  </pivotFields>
  <rowFields count="1">
    <field x="0"/>
  </rowFields>
  <rowItems count="2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 t="grand">
      <x/>
    </i>
  </rowItems>
  <colItems count="1">
    <i/>
  </colItems>
  <dataFields count="1">
    <dataField name="Count of magType" fld="6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6C01BA0-7402-4AB4-A949-02627380275E}" name="PivotTable10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D1:E14" firstHeaderRow="1" firstDataRow="1" firstDataCol="1"/>
  <pivotFields count="7">
    <pivotField showAll="0">
      <items count="2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t="default"/>
      </items>
    </pivotField>
    <pivotField axis="axisRow" showAll="0">
      <items count="13">
        <item x="3"/>
        <item x="4"/>
        <item x="7"/>
        <item x="9"/>
        <item x="10"/>
        <item x="0"/>
        <item x="1"/>
        <item x="11"/>
        <item x="5"/>
        <item x="6"/>
        <item x="2"/>
        <item x="8"/>
        <item t="default"/>
      </items>
    </pivotField>
    <pivotField showAll="0"/>
    <pivotField showAll="0"/>
    <pivotField showAll="0"/>
    <pivotField showAll="0"/>
    <pivotField dataField="1" showAll="0"/>
  </pivotFields>
  <rowFields count="1">
    <field x="1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Count of magType" fld="6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C72F60-FAF4-4B25-A21D-3990BC2E25D4}">
  <dimension ref="A1:V584"/>
  <sheetViews>
    <sheetView topLeftCell="A256" workbookViewId="0">
      <selection activeCell="F1" sqref="F1:F268"/>
    </sheetView>
  </sheetViews>
  <sheetFormatPr defaultRowHeight="13.8" x14ac:dyDescent="0.25"/>
  <sheetData>
    <row r="1" spans="1:2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25">
      <c r="A2" t="s">
        <v>22</v>
      </c>
      <c r="B2">
        <v>-7.2910000000000004</v>
      </c>
      <c r="C2">
        <v>120.38500000000001</v>
      </c>
      <c r="D2">
        <v>631</v>
      </c>
      <c r="E2">
        <v>5.8</v>
      </c>
      <c r="F2" t="s">
        <v>23</v>
      </c>
      <c r="K2" t="s">
        <v>24</v>
      </c>
      <c r="L2" t="s">
        <v>25</v>
      </c>
      <c r="M2" t="s">
        <v>26</v>
      </c>
      <c r="N2" t="s">
        <v>27</v>
      </c>
      <c r="O2" t="s">
        <v>28</v>
      </c>
      <c r="T2" t="s">
        <v>29</v>
      </c>
      <c r="U2" t="s">
        <v>24</v>
      </c>
      <c r="V2" t="s">
        <v>24</v>
      </c>
    </row>
    <row r="3" spans="1:22" x14ac:dyDescent="0.25">
      <c r="A3" t="s">
        <v>30</v>
      </c>
      <c r="B3">
        <v>-7.4630000000000001</v>
      </c>
      <c r="C3">
        <v>122.11799999999999</v>
      </c>
      <c r="D3">
        <v>392</v>
      </c>
      <c r="E3">
        <v>5.4</v>
      </c>
      <c r="F3" t="s">
        <v>23</v>
      </c>
      <c r="K3" t="s">
        <v>24</v>
      </c>
      <c r="L3" t="s">
        <v>31</v>
      </c>
      <c r="M3" t="s">
        <v>32</v>
      </c>
      <c r="N3" t="s">
        <v>33</v>
      </c>
      <c r="O3" t="s">
        <v>28</v>
      </c>
      <c r="T3" t="s">
        <v>29</v>
      </c>
      <c r="U3" t="s">
        <v>24</v>
      </c>
      <c r="V3" t="s">
        <v>24</v>
      </c>
    </row>
    <row r="4" spans="1:22" x14ac:dyDescent="0.25">
      <c r="A4" t="s">
        <v>34</v>
      </c>
      <c r="B4">
        <v>-6.0289999999999999</v>
      </c>
      <c r="C4">
        <v>124.68600000000001</v>
      </c>
      <c r="D4">
        <v>605</v>
      </c>
      <c r="E4">
        <v>5.5</v>
      </c>
      <c r="F4" t="s">
        <v>23</v>
      </c>
      <c r="K4" t="s">
        <v>24</v>
      </c>
      <c r="L4" t="s">
        <v>35</v>
      </c>
      <c r="M4" t="s">
        <v>36</v>
      </c>
      <c r="N4" t="s">
        <v>37</v>
      </c>
      <c r="O4" t="s">
        <v>28</v>
      </c>
      <c r="T4" t="s">
        <v>29</v>
      </c>
      <c r="U4" t="s">
        <v>24</v>
      </c>
      <c r="V4" t="s">
        <v>24</v>
      </c>
    </row>
    <row r="5" spans="1:22" x14ac:dyDescent="0.25">
      <c r="A5" t="s">
        <v>38</v>
      </c>
      <c r="B5">
        <v>-7.0359999999999996</v>
      </c>
      <c r="C5">
        <v>124.749</v>
      </c>
      <c r="D5">
        <v>545</v>
      </c>
      <c r="E5">
        <v>5.3</v>
      </c>
      <c r="F5" t="s">
        <v>23</v>
      </c>
      <c r="K5" t="s">
        <v>24</v>
      </c>
      <c r="L5" t="s">
        <v>39</v>
      </c>
      <c r="M5" t="s">
        <v>40</v>
      </c>
      <c r="N5" t="s">
        <v>41</v>
      </c>
      <c r="O5" t="s">
        <v>28</v>
      </c>
      <c r="T5" t="s">
        <v>29</v>
      </c>
      <c r="U5" t="s">
        <v>24</v>
      </c>
      <c r="V5" t="s">
        <v>24</v>
      </c>
    </row>
    <row r="6" spans="1:22" x14ac:dyDescent="0.25">
      <c r="A6" t="s">
        <v>42</v>
      </c>
      <c r="B6">
        <v>-7.3449999999999998</v>
      </c>
      <c r="C6">
        <v>120.251</v>
      </c>
      <c r="D6">
        <v>582</v>
      </c>
      <c r="E6">
        <v>5.0999999999999996</v>
      </c>
      <c r="F6" t="s">
        <v>23</v>
      </c>
      <c r="K6" t="s">
        <v>24</v>
      </c>
      <c r="L6" t="s">
        <v>43</v>
      </c>
      <c r="M6" t="s">
        <v>44</v>
      </c>
      <c r="N6" t="s">
        <v>45</v>
      </c>
      <c r="O6" t="s">
        <v>28</v>
      </c>
      <c r="T6" t="s">
        <v>29</v>
      </c>
      <c r="U6" t="s">
        <v>24</v>
      </c>
      <c r="V6" t="s">
        <v>24</v>
      </c>
    </row>
    <row r="7" spans="1:22" x14ac:dyDescent="0.25">
      <c r="A7" t="s">
        <v>46</v>
      </c>
      <c r="B7">
        <v>-7.24</v>
      </c>
      <c r="C7">
        <v>120.21599999999999</v>
      </c>
      <c r="D7">
        <v>390</v>
      </c>
      <c r="E7">
        <v>5.4</v>
      </c>
      <c r="F7" t="s">
        <v>23</v>
      </c>
      <c r="K7" t="s">
        <v>24</v>
      </c>
      <c r="L7" t="s">
        <v>47</v>
      </c>
      <c r="M7" t="s">
        <v>48</v>
      </c>
      <c r="N7" t="s">
        <v>49</v>
      </c>
      <c r="O7" t="s">
        <v>28</v>
      </c>
      <c r="T7" t="s">
        <v>29</v>
      </c>
      <c r="U7" t="s">
        <v>24</v>
      </c>
      <c r="V7" t="s">
        <v>24</v>
      </c>
    </row>
    <row r="8" spans="1:22" x14ac:dyDescent="0.25">
      <c r="A8" t="s">
        <v>50</v>
      </c>
      <c r="B8">
        <v>-7.3109999999999999</v>
      </c>
      <c r="C8">
        <v>120.548</v>
      </c>
      <c r="D8">
        <v>618</v>
      </c>
      <c r="E8">
        <v>4.8</v>
      </c>
      <c r="F8" t="s">
        <v>23</v>
      </c>
      <c r="K8" t="s">
        <v>24</v>
      </c>
      <c r="L8" t="s">
        <v>51</v>
      </c>
      <c r="M8" t="s">
        <v>52</v>
      </c>
      <c r="N8" t="s">
        <v>53</v>
      </c>
      <c r="O8" t="s">
        <v>28</v>
      </c>
      <c r="T8" t="s">
        <v>29</v>
      </c>
      <c r="U8" t="s">
        <v>24</v>
      </c>
      <c r="V8" t="s">
        <v>24</v>
      </c>
    </row>
    <row r="9" spans="1:22" x14ac:dyDescent="0.25">
      <c r="A9" t="s">
        <v>54</v>
      </c>
      <c r="B9">
        <v>-7.3090000000000002</v>
      </c>
      <c r="C9">
        <v>120.17</v>
      </c>
      <c r="D9">
        <v>627</v>
      </c>
      <c r="E9">
        <v>5.3</v>
      </c>
      <c r="F9" t="s">
        <v>23</v>
      </c>
      <c r="K9" t="s">
        <v>24</v>
      </c>
      <c r="L9" t="s">
        <v>55</v>
      </c>
      <c r="M9" t="s">
        <v>56</v>
      </c>
      <c r="N9" t="s">
        <v>57</v>
      </c>
      <c r="O9" t="s">
        <v>28</v>
      </c>
      <c r="T9" t="s">
        <v>29</v>
      </c>
      <c r="U9" t="s">
        <v>24</v>
      </c>
      <c r="V9" t="s">
        <v>24</v>
      </c>
    </row>
    <row r="10" spans="1:22" x14ac:dyDescent="0.25">
      <c r="A10" t="s">
        <v>58</v>
      </c>
      <c r="B10">
        <v>-6.9569999999999999</v>
      </c>
      <c r="C10">
        <v>124.616</v>
      </c>
      <c r="D10">
        <v>538</v>
      </c>
      <c r="E10">
        <v>5</v>
      </c>
      <c r="F10" t="s">
        <v>23</v>
      </c>
      <c r="K10" t="s">
        <v>24</v>
      </c>
      <c r="L10" t="s">
        <v>59</v>
      </c>
      <c r="M10" t="s">
        <v>60</v>
      </c>
      <c r="N10" t="s">
        <v>61</v>
      </c>
      <c r="O10" t="s">
        <v>28</v>
      </c>
      <c r="T10" t="s">
        <v>29</v>
      </c>
      <c r="U10" t="s">
        <v>24</v>
      </c>
      <c r="V10" t="s">
        <v>24</v>
      </c>
    </row>
    <row r="11" spans="1:22" x14ac:dyDescent="0.25">
      <c r="A11" t="s">
        <v>62</v>
      </c>
      <c r="B11">
        <v>-7.2320000000000002</v>
      </c>
      <c r="C11">
        <v>120.44799999999999</v>
      </c>
      <c r="D11">
        <v>604</v>
      </c>
      <c r="E11">
        <v>4.7</v>
      </c>
      <c r="F11" t="s">
        <v>23</v>
      </c>
      <c r="K11" t="s">
        <v>24</v>
      </c>
      <c r="L11" t="s">
        <v>63</v>
      </c>
      <c r="M11" t="s">
        <v>64</v>
      </c>
      <c r="N11" t="s">
        <v>65</v>
      </c>
      <c r="O11" t="s">
        <v>28</v>
      </c>
      <c r="T11" t="s">
        <v>29</v>
      </c>
      <c r="U11" t="s">
        <v>24</v>
      </c>
      <c r="V11" t="s">
        <v>24</v>
      </c>
    </row>
    <row r="12" spans="1:22" x14ac:dyDescent="0.25">
      <c r="A12" t="s">
        <v>66</v>
      </c>
      <c r="B12">
        <v>-7.2510000000000003</v>
      </c>
      <c r="C12">
        <v>120.499</v>
      </c>
      <c r="D12">
        <v>637</v>
      </c>
      <c r="E12">
        <v>5</v>
      </c>
      <c r="F12" t="s">
        <v>23</v>
      </c>
      <c r="K12" t="s">
        <v>24</v>
      </c>
      <c r="L12" t="s">
        <v>67</v>
      </c>
      <c r="M12" t="s">
        <v>68</v>
      </c>
      <c r="N12" t="s">
        <v>69</v>
      </c>
      <c r="O12" t="s">
        <v>28</v>
      </c>
      <c r="T12" t="s">
        <v>29</v>
      </c>
      <c r="U12" t="s">
        <v>24</v>
      </c>
      <c r="V12" t="s">
        <v>24</v>
      </c>
    </row>
    <row r="13" spans="1:22" x14ac:dyDescent="0.25">
      <c r="A13" t="s">
        <v>70</v>
      </c>
      <c r="B13">
        <v>-7.5549999999999997</v>
      </c>
      <c r="C13">
        <v>120.283</v>
      </c>
      <c r="D13">
        <v>367</v>
      </c>
      <c r="E13">
        <v>5.0999999999999996</v>
      </c>
      <c r="F13" t="s">
        <v>23</v>
      </c>
      <c r="K13" t="s">
        <v>24</v>
      </c>
      <c r="L13" t="s">
        <v>71</v>
      </c>
      <c r="M13" t="s">
        <v>72</v>
      </c>
      <c r="N13" t="s">
        <v>73</v>
      </c>
      <c r="O13" t="s">
        <v>28</v>
      </c>
      <c r="T13" t="s">
        <v>29</v>
      </c>
      <c r="U13" t="s">
        <v>24</v>
      </c>
      <c r="V13" t="s">
        <v>24</v>
      </c>
    </row>
    <row r="14" spans="1:22" x14ac:dyDescent="0.25">
      <c r="A14" t="s">
        <v>74</v>
      </c>
      <c r="B14">
        <v>-7.5209999999999999</v>
      </c>
      <c r="C14">
        <v>124.64700000000001</v>
      </c>
      <c r="D14">
        <v>359</v>
      </c>
      <c r="E14">
        <v>5.2</v>
      </c>
      <c r="F14" t="s">
        <v>23</v>
      </c>
      <c r="K14" t="s">
        <v>24</v>
      </c>
      <c r="L14" t="s">
        <v>75</v>
      </c>
      <c r="M14" t="s">
        <v>76</v>
      </c>
      <c r="N14" t="s">
        <v>77</v>
      </c>
      <c r="O14" t="s">
        <v>28</v>
      </c>
      <c r="T14" t="s">
        <v>29</v>
      </c>
      <c r="U14" t="s">
        <v>24</v>
      </c>
      <c r="V14" t="s">
        <v>24</v>
      </c>
    </row>
    <row r="15" spans="1:22" x14ac:dyDescent="0.25">
      <c r="A15" t="s">
        <v>78</v>
      </c>
      <c r="B15">
        <v>-7.4470000000000001</v>
      </c>
      <c r="C15">
        <v>125.254</v>
      </c>
      <c r="D15">
        <v>50</v>
      </c>
      <c r="E15">
        <v>4.8</v>
      </c>
      <c r="F15" t="s">
        <v>23</v>
      </c>
      <c r="K15" t="s">
        <v>24</v>
      </c>
      <c r="L15" t="s">
        <v>79</v>
      </c>
      <c r="M15" t="s">
        <v>80</v>
      </c>
      <c r="N15" t="s">
        <v>81</v>
      </c>
      <c r="O15" t="s">
        <v>28</v>
      </c>
      <c r="T15" t="s">
        <v>29</v>
      </c>
      <c r="U15" t="s">
        <v>24</v>
      </c>
      <c r="V15" t="s">
        <v>24</v>
      </c>
    </row>
    <row r="16" spans="1:22" x14ac:dyDescent="0.25">
      <c r="A16" t="s">
        <v>82</v>
      </c>
      <c r="B16">
        <v>-6.5330000000000004</v>
      </c>
      <c r="C16">
        <v>124.742</v>
      </c>
      <c r="D16">
        <v>606</v>
      </c>
      <c r="E16">
        <v>5</v>
      </c>
      <c r="F16" t="s">
        <v>23</v>
      </c>
      <c r="K16" t="s">
        <v>24</v>
      </c>
      <c r="L16" t="s">
        <v>83</v>
      </c>
      <c r="M16" t="s">
        <v>84</v>
      </c>
      <c r="N16" t="s">
        <v>85</v>
      </c>
      <c r="O16" t="s">
        <v>28</v>
      </c>
      <c r="T16" t="s">
        <v>29</v>
      </c>
      <c r="U16" t="s">
        <v>24</v>
      </c>
      <c r="V16" t="s">
        <v>24</v>
      </c>
    </row>
    <row r="17" spans="1:22" x14ac:dyDescent="0.25">
      <c r="A17" t="s">
        <v>86</v>
      </c>
      <c r="B17">
        <v>-6.2850000000000001</v>
      </c>
      <c r="C17">
        <v>124.755</v>
      </c>
      <c r="D17">
        <v>576</v>
      </c>
      <c r="E17">
        <v>5.7</v>
      </c>
      <c r="F17" t="s">
        <v>23</v>
      </c>
      <c r="K17" t="s">
        <v>24</v>
      </c>
      <c r="L17" t="s">
        <v>87</v>
      </c>
      <c r="M17" t="s">
        <v>88</v>
      </c>
      <c r="N17" t="s">
        <v>89</v>
      </c>
      <c r="O17" t="s">
        <v>28</v>
      </c>
      <c r="T17" t="s">
        <v>29</v>
      </c>
      <c r="U17" t="s">
        <v>24</v>
      </c>
      <c r="V17" t="s">
        <v>24</v>
      </c>
    </row>
    <row r="18" spans="1:22" x14ac:dyDescent="0.25">
      <c r="A18" t="s">
        <v>90</v>
      </c>
      <c r="B18">
        <v>-7.4779999999999998</v>
      </c>
      <c r="C18">
        <v>119.905</v>
      </c>
      <c r="D18">
        <v>614</v>
      </c>
      <c r="E18">
        <v>6.4</v>
      </c>
      <c r="F18" t="s">
        <v>23</v>
      </c>
      <c r="K18" t="s">
        <v>24</v>
      </c>
      <c r="L18" t="s">
        <v>91</v>
      </c>
      <c r="M18" t="s">
        <v>92</v>
      </c>
      <c r="N18" t="s">
        <v>93</v>
      </c>
      <c r="O18" t="s">
        <v>28</v>
      </c>
      <c r="T18" t="s">
        <v>29</v>
      </c>
      <c r="U18" t="s">
        <v>24</v>
      </c>
      <c r="V18" t="s">
        <v>24</v>
      </c>
    </row>
    <row r="19" spans="1:22" x14ac:dyDescent="0.25">
      <c r="A19" t="s">
        <v>94</v>
      </c>
      <c r="B19">
        <v>-7.0590000000000002</v>
      </c>
      <c r="C19">
        <v>123.74299999999999</v>
      </c>
      <c r="D19">
        <v>611</v>
      </c>
      <c r="E19">
        <v>5.2</v>
      </c>
      <c r="F19" t="s">
        <v>23</v>
      </c>
      <c r="K19" t="s">
        <v>24</v>
      </c>
      <c r="L19" t="s">
        <v>95</v>
      </c>
      <c r="M19" t="s">
        <v>96</v>
      </c>
      <c r="N19" t="s">
        <v>97</v>
      </c>
      <c r="O19" t="s">
        <v>28</v>
      </c>
      <c r="T19" t="s">
        <v>29</v>
      </c>
      <c r="U19" t="s">
        <v>24</v>
      </c>
      <c r="V19" t="s">
        <v>24</v>
      </c>
    </row>
    <row r="20" spans="1:22" x14ac:dyDescent="0.25">
      <c r="A20" t="s">
        <v>98</v>
      </c>
      <c r="B20">
        <v>-5.1890000000000001</v>
      </c>
      <c r="C20">
        <v>125.23099999999999</v>
      </c>
      <c r="D20">
        <v>33</v>
      </c>
      <c r="E20">
        <v>5.0999999999999996</v>
      </c>
      <c r="F20" t="s">
        <v>23</v>
      </c>
      <c r="K20" t="s">
        <v>24</v>
      </c>
      <c r="L20" t="s">
        <v>99</v>
      </c>
      <c r="M20" t="s">
        <v>100</v>
      </c>
      <c r="N20" t="s">
        <v>37</v>
      </c>
      <c r="O20" t="s">
        <v>28</v>
      </c>
      <c r="T20" t="s">
        <v>29</v>
      </c>
      <c r="U20" t="s">
        <v>24</v>
      </c>
      <c r="V20" t="s">
        <v>24</v>
      </c>
    </row>
    <row r="21" spans="1:22" x14ac:dyDescent="0.25">
      <c r="A21" t="s">
        <v>101</v>
      </c>
      <c r="B21">
        <v>-7.0789999999999997</v>
      </c>
      <c r="C21">
        <v>123.815</v>
      </c>
      <c r="D21">
        <v>596</v>
      </c>
      <c r="E21">
        <v>4.7</v>
      </c>
      <c r="F21" t="s">
        <v>23</v>
      </c>
      <c r="K21" t="s">
        <v>24</v>
      </c>
      <c r="L21" t="s">
        <v>102</v>
      </c>
      <c r="M21" t="s">
        <v>103</v>
      </c>
      <c r="N21" t="s">
        <v>104</v>
      </c>
      <c r="O21" t="s">
        <v>28</v>
      </c>
      <c r="T21" t="s">
        <v>29</v>
      </c>
      <c r="U21" t="s">
        <v>24</v>
      </c>
      <c r="V21" t="s">
        <v>24</v>
      </c>
    </row>
    <row r="22" spans="1:22" x14ac:dyDescent="0.25">
      <c r="A22" t="s">
        <v>105</v>
      </c>
      <c r="B22">
        <v>-7.27</v>
      </c>
      <c r="C22">
        <v>120.306</v>
      </c>
      <c r="D22">
        <v>562</v>
      </c>
      <c r="E22">
        <v>4.5</v>
      </c>
      <c r="F22" t="s">
        <v>23</v>
      </c>
      <c r="K22" t="s">
        <v>24</v>
      </c>
      <c r="L22" t="s">
        <v>106</v>
      </c>
      <c r="M22" t="s">
        <v>107</v>
      </c>
      <c r="N22" t="s">
        <v>49</v>
      </c>
      <c r="O22" t="s">
        <v>28</v>
      </c>
      <c r="T22" t="s">
        <v>29</v>
      </c>
      <c r="U22" t="s">
        <v>24</v>
      </c>
      <c r="V22" t="s">
        <v>24</v>
      </c>
    </row>
    <row r="23" spans="1:22" x14ac:dyDescent="0.25">
      <c r="A23" t="s">
        <v>108</v>
      </c>
      <c r="B23">
        <v>-7.0549999999999997</v>
      </c>
      <c r="C23">
        <v>125.205</v>
      </c>
      <c r="D23">
        <v>522</v>
      </c>
      <c r="E23">
        <v>4.8</v>
      </c>
      <c r="F23" t="s">
        <v>23</v>
      </c>
      <c r="K23" t="s">
        <v>24</v>
      </c>
      <c r="L23" t="s">
        <v>109</v>
      </c>
      <c r="M23" t="s">
        <v>110</v>
      </c>
      <c r="N23" t="s">
        <v>111</v>
      </c>
      <c r="O23" t="s">
        <v>28</v>
      </c>
      <c r="T23" t="s">
        <v>29</v>
      </c>
      <c r="U23" t="s">
        <v>24</v>
      </c>
      <c r="V23" t="s">
        <v>24</v>
      </c>
    </row>
    <row r="24" spans="1:22" x14ac:dyDescent="0.25">
      <c r="A24" t="s">
        <v>112</v>
      </c>
      <c r="B24">
        <v>-5.9820000000000002</v>
      </c>
      <c r="C24">
        <v>123.645</v>
      </c>
      <c r="D24">
        <v>43</v>
      </c>
      <c r="E24">
        <v>5</v>
      </c>
      <c r="F24" t="s">
        <v>23</v>
      </c>
      <c r="K24" t="s">
        <v>24</v>
      </c>
      <c r="L24" t="s">
        <v>113</v>
      </c>
      <c r="M24" t="s">
        <v>114</v>
      </c>
      <c r="N24" t="s">
        <v>115</v>
      </c>
      <c r="O24" t="s">
        <v>28</v>
      </c>
      <c r="T24" t="s">
        <v>29</v>
      </c>
      <c r="U24" t="s">
        <v>24</v>
      </c>
      <c r="V24" t="s">
        <v>24</v>
      </c>
    </row>
    <row r="25" spans="1:22" x14ac:dyDescent="0.25">
      <c r="A25" t="s">
        <v>116</v>
      </c>
      <c r="B25">
        <v>-6.0549999999999997</v>
      </c>
      <c r="C25">
        <v>123.69</v>
      </c>
      <c r="D25">
        <v>24</v>
      </c>
      <c r="E25">
        <v>5.0999999999999996</v>
      </c>
      <c r="F25" t="s">
        <v>23</v>
      </c>
      <c r="K25" t="s">
        <v>24</v>
      </c>
      <c r="L25" t="s">
        <v>117</v>
      </c>
      <c r="M25" t="s">
        <v>118</v>
      </c>
      <c r="N25" t="s">
        <v>119</v>
      </c>
      <c r="O25" t="s">
        <v>28</v>
      </c>
      <c r="T25" t="s">
        <v>29</v>
      </c>
      <c r="U25" t="s">
        <v>24</v>
      </c>
      <c r="V25" t="s">
        <v>24</v>
      </c>
    </row>
    <row r="26" spans="1:22" x14ac:dyDescent="0.25">
      <c r="A26" t="s">
        <v>120</v>
      </c>
      <c r="B26">
        <v>-6.069</v>
      </c>
      <c r="C26">
        <v>125.18300000000001</v>
      </c>
      <c r="D26">
        <v>548</v>
      </c>
      <c r="E26">
        <v>4.8</v>
      </c>
      <c r="F26" t="s">
        <v>23</v>
      </c>
      <c r="K26" t="s">
        <v>24</v>
      </c>
      <c r="L26" t="s">
        <v>121</v>
      </c>
      <c r="M26" t="s">
        <v>122</v>
      </c>
      <c r="N26" t="s">
        <v>123</v>
      </c>
      <c r="O26" t="s">
        <v>28</v>
      </c>
      <c r="T26" t="s">
        <v>29</v>
      </c>
      <c r="U26" t="s">
        <v>24</v>
      </c>
      <c r="V26" t="s">
        <v>24</v>
      </c>
    </row>
    <row r="27" spans="1:22" x14ac:dyDescent="0.25">
      <c r="A27" t="s">
        <v>124</v>
      </c>
      <c r="B27">
        <v>-4.9459999999999997</v>
      </c>
      <c r="C27">
        <v>125.247</v>
      </c>
      <c r="D27">
        <v>535</v>
      </c>
      <c r="E27">
        <v>5.9</v>
      </c>
      <c r="F27" t="s">
        <v>23</v>
      </c>
      <c r="K27" t="s">
        <v>24</v>
      </c>
      <c r="L27" t="s">
        <v>125</v>
      </c>
      <c r="M27" t="s">
        <v>126</v>
      </c>
      <c r="N27" t="s">
        <v>37</v>
      </c>
      <c r="O27" t="s">
        <v>28</v>
      </c>
      <c r="T27" t="s">
        <v>29</v>
      </c>
      <c r="U27" t="s">
        <v>24</v>
      </c>
      <c r="V27" t="s">
        <v>24</v>
      </c>
    </row>
    <row r="28" spans="1:22" x14ac:dyDescent="0.25">
      <c r="A28" t="s">
        <v>127</v>
      </c>
      <c r="B28">
        <v>-4.9950000000000001</v>
      </c>
      <c r="C28">
        <v>125.23</v>
      </c>
      <c r="D28">
        <v>531</v>
      </c>
      <c r="E28">
        <v>5.6</v>
      </c>
      <c r="F28" t="s">
        <v>23</v>
      </c>
      <c r="K28" t="s">
        <v>24</v>
      </c>
      <c r="L28" t="s">
        <v>128</v>
      </c>
      <c r="M28" t="s">
        <v>129</v>
      </c>
      <c r="N28" t="s">
        <v>37</v>
      </c>
      <c r="O28" t="s">
        <v>28</v>
      </c>
      <c r="T28" t="s">
        <v>29</v>
      </c>
      <c r="U28" t="s">
        <v>24</v>
      </c>
      <c r="V28" t="s">
        <v>24</v>
      </c>
    </row>
    <row r="29" spans="1:22" x14ac:dyDescent="0.25">
      <c r="A29" t="s">
        <v>130</v>
      </c>
      <c r="B29">
        <v>-7.08</v>
      </c>
      <c r="C29">
        <v>123.256</v>
      </c>
      <c r="D29">
        <v>556</v>
      </c>
      <c r="E29">
        <v>5</v>
      </c>
      <c r="F29" t="s">
        <v>23</v>
      </c>
      <c r="K29" t="s">
        <v>24</v>
      </c>
      <c r="L29" t="s">
        <v>131</v>
      </c>
      <c r="M29" t="s">
        <v>132</v>
      </c>
      <c r="N29" t="s">
        <v>133</v>
      </c>
      <c r="O29" t="s">
        <v>28</v>
      </c>
      <c r="T29" t="s">
        <v>29</v>
      </c>
      <c r="U29" t="s">
        <v>24</v>
      </c>
      <c r="V29" t="s">
        <v>24</v>
      </c>
    </row>
    <row r="30" spans="1:22" x14ac:dyDescent="0.25">
      <c r="A30" t="s">
        <v>134</v>
      </c>
      <c r="B30">
        <v>-7.125</v>
      </c>
      <c r="C30">
        <v>123.815</v>
      </c>
      <c r="D30">
        <v>583</v>
      </c>
      <c r="E30">
        <v>4.9000000000000004</v>
      </c>
      <c r="F30" t="s">
        <v>23</v>
      </c>
      <c r="K30" t="s">
        <v>24</v>
      </c>
      <c r="L30" t="s">
        <v>135</v>
      </c>
      <c r="M30" t="s">
        <v>136</v>
      </c>
      <c r="N30" t="s">
        <v>137</v>
      </c>
      <c r="O30" t="s">
        <v>28</v>
      </c>
      <c r="T30" t="s">
        <v>29</v>
      </c>
      <c r="U30" t="s">
        <v>24</v>
      </c>
      <c r="V30" t="s">
        <v>24</v>
      </c>
    </row>
    <row r="31" spans="1:22" x14ac:dyDescent="0.25">
      <c r="A31" t="s">
        <v>138</v>
      </c>
      <c r="B31">
        <v>-6.8529999999999998</v>
      </c>
      <c r="C31">
        <v>123.456</v>
      </c>
      <c r="D31">
        <v>646</v>
      </c>
      <c r="E31">
        <v>4.9000000000000004</v>
      </c>
      <c r="F31" t="s">
        <v>23</v>
      </c>
      <c r="K31" t="s">
        <v>24</v>
      </c>
      <c r="L31" t="s">
        <v>139</v>
      </c>
      <c r="M31" t="s">
        <v>140</v>
      </c>
      <c r="N31" t="s">
        <v>141</v>
      </c>
      <c r="O31" t="s">
        <v>28</v>
      </c>
      <c r="T31" t="s">
        <v>29</v>
      </c>
      <c r="U31" t="s">
        <v>24</v>
      </c>
      <c r="V31" t="s">
        <v>24</v>
      </c>
    </row>
    <row r="32" spans="1:22" x14ac:dyDescent="0.25">
      <c r="A32" t="s">
        <v>142</v>
      </c>
      <c r="B32">
        <v>-6.0810000000000004</v>
      </c>
      <c r="C32">
        <v>122.914</v>
      </c>
      <c r="D32">
        <v>56</v>
      </c>
      <c r="E32">
        <v>5.4</v>
      </c>
      <c r="F32" t="s">
        <v>23</v>
      </c>
      <c r="K32" t="s">
        <v>24</v>
      </c>
      <c r="L32" t="s">
        <v>143</v>
      </c>
      <c r="M32" t="s">
        <v>144</v>
      </c>
      <c r="N32" t="s">
        <v>145</v>
      </c>
      <c r="O32" t="s">
        <v>28</v>
      </c>
      <c r="T32" t="s">
        <v>29</v>
      </c>
      <c r="U32" t="s">
        <v>24</v>
      </c>
      <c r="V32" t="s">
        <v>24</v>
      </c>
    </row>
    <row r="33" spans="1:22" x14ac:dyDescent="0.25">
      <c r="A33" t="s">
        <v>146</v>
      </c>
      <c r="B33">
        <v>-7.29</v>
      </c>
      <c r="C33">
        <v>123.15</v>
      </c>
      <c r="D33">
        <v>578</v>
      </c>
      <c r="E33">
        <v>5.3</v>
      </c>
      <c r="F33" t="s">
        <v>23</v>
      </c>
      <c r="K33" t="s">
        <v>24</v>
      </c>
      <c r="L33" t="s">
        <v>147</v>
      </c>
      <c r="M33" t="s">
        <v>148</v>
      </c>
      <c r="N33" t="s">
        <v>149</v>
      </c>
      <c r="O33" t="s">
        <v>28</v>
      </c>
      <c r="T33" t="s">
        <v>29</v>
      </c>
      <c r="U33" t="s">
        <v>24</v>
      </c>
      <c r="V33" t="s">
        <v>24</v>
      </c>
    </row>
    <row r="34" spans="1:22" x14ac:dyDescent="0.25">
      <c r="A34" t="s">
        <v>150</v>
      </c>
      <c r="B34">
        <v>-7.1929999999999996</v>
      </c>
      <c r="C34">
        <v>120.051</v>
      </c>
      <c r="D34">
        <v>557</v>
      </c>
      <c r="E34">
        <v>5.4</v>
      </c>
      <c r="F34" t="s">
        <v>23</v>
      </c>
      <c r="K34" t="s">
        <v>24</v>
      </c>
      <c r="L34" t="s">
        <v>151</v>
      </c>
      <c r="M34" t="s">
        <v>152</v>
      </c>
      <c r="N34" t="s">
        <v>153</v>
      </c>
      <c r="O34" t="s">
        <v>28</v>
      </c>
      <c r="T34" t="s">
        <v>29</v>
      </c>
      <c r="U34" t="s">
        <v>24</v>
      </c>
      <c r="V34" t="s">
        <v>24</v>
      </c>
    </row>
    <row r="35" spans="1:22" x14ac:dyDescent="0.25">
      <c r="A35" t="s">
        <v>154</v>
      </c>
      <c r="B35">
        <v>-6.8490000000000002</v>
      </c>
      <c r="C35">
        <v>125.244</v>
      </c>
      <c r="D35">
        <v>529</v>
      </c>
      <c r="E35">
        <v>5</v>
      </c>
      <c r="F35" t="s">
        <v>23</v>
      </c>
      <c r="K35" t="s">
        <v>24</v>
      </c>
      <c r="L35" t="s">
        <v>155</v>
      </c>
      <c r="M35" t="s">
        <v>156</v>
      </c>
      <c r="N35" t="s">
        <v>157</v>
      </c>
      <c r="O35" t="s">
        <v>28</v>
      </c>
      <c r="T35" t="s">
        <v>29</v>
      </c>
      <c r="U35" t="s">
        <v>24</v>
      </c>
      <c r="V35" t="s">
        <v>24</v>
      </c>
    </row>
    <row r="36" spans="1:22" x14ac:dyDescent="0.25">
      <c r="A36" t="s">
        <v>158</v>
      </c>
      <c r="B36">
        <v>-7.0149999999999997</v>
      </c>
      <c r="C36">
        <v>123.381</v>
      </c>
      <c r="D36">
        <v>642</v>
      </c>
      <c r="E36">
        <v>5.2</v>
      </c>
      <c r="F36" t="s">
        <v>23</v>
      </c>
      <c r="K36" t="s">
        <v>24</v>
      </c>
      <c r="L36" t="s">
        <v>159</v>
      </c>
      <c r="M36" t="s">
        <v>160</v>
      </c>
      <c r="N36" t="s">
        <v>161</v>
      </c>
      <c r="O36" t="s">
        <v>28</v>
      </c>
      <c r="T36" t="s">
        <v>29</v>
      </c>
      <c r="U36" t="s">
        <v>24</v>
      </c>
      <c r="V36" t="s">
        <v>24</v>
      </c>
    </row>
    <row r="37" spans="1:22" x14ac:dyDescent="0.25">
      <c r="A37" t="s">
        <v>162</v>
      </c>
      <c r="B37">
        <v>-5.7629999999999999</v>
      </c>
      <c r="C37">
        <v>122.76300000000001</v>
      </c>
      <c r="D37">
        <v>66</v>
      </c>
      <c r="E37">
        <v>4.7</v>
      </c>
      <c r="F37" t="s">
        <v>23</v>
      </c>
      <c r="K37" t="s">
        <v>24</v>
      </c>
      <c r="L37" t="s">
        <v>163</v>
      </c>
      <c r="M37" t="s">
        <v>164</v>
      </c>
      <c r="N37" t="s">
        <v>165</v>
      </c>
      <c r="O37" t="s">
        <v>28</v>
      </c>
      <c r="T37" t="s">
        <v>29</v>
      </c>
      <c r="U37" t="s">
        <v>24</v>
      </c>
      <c r="V37" t="s">
        <v>24</v>
      </c>
    </row>
    <row r="38" spans="1:22" x14ac:dyDescent="0.25">
      <c r="A38" t="s">
        <v>166</v>
      </c>
      <c r="B38">
        <v>-6.1449999999999996</v>
      </c>
      <c r="C38">
        <v>124.89700000000001</v>
      </c>
      <c r="D38">
        <v>615</v>
      </c>
      <c r="E38">
        <v>5.2</v>
      </c>
      <c r="F38" t="s">
        <v>23</v>
      </c>
      <c r="K38" t="s">
        <v>24</v>
      </c>
      <c r="L38" t="s">
        <v>167</v>
      </c>
      <c r="M38" t="s">
        <v>168</v>
      </c>
      <c r="N38" t="s">
        <v>169</v>
      </c>
      <c r="O38" t="s">
        <v>28</v>
      </c>
      <c r="T38" t="s">
        <v>29</v>
      </c>
      <c r="U38" t="s">
        <v>24</v>
      </c>
      <c r="V38" t="s">
        <v>24</v>
      </c>
    </row>
    <row r="39" spans="1:22" x14ac:dyDescent="0.25">
      <c r="A39" t="s">
        <v>170</v>
      </c>
      <c r="B39">
        <v>-6.8810000000000002</v>
      </c>
      <c r="C39">
        <v>124.94</v>
      </c>
      <c r="D39">
        <v>555</v>
      </c>
      <c r="E39">
        <v>4.9000000000000004</v>
      </c>
      <c r="F39" t="s">
        <v>23</v>
      </c>
      <c r="K39" t="s">
        <v>24</v>
      </c>
      <c r="L39" t="s">
        <v>171</v>
      </c>
      <c r="M39" t="s">
        <v>172</v>
      </c>
      <c r="N39" t="s">
        <v>173</v>
      </c>
      <c r="O39" t="s">
        <v>28</v>
      </c>
      <c r="T39" t="s">
        <v>29</v>
      </c>
      <c r="U39" t="s">
        <v>24</v>
      </c>
      <c r="V39" t="s">
        <v>24</v>
      </c>
    </row>
    <row r="40" spans="1:22" x14ac:dyDescent="0.25">
      <c r="A40" t="s">
        <v>174</v>
      </c>
      <c r="B40">
        <v>-7.21</v>
      </c>
      <c r="C40">
        <v>120.309</v>
      </c>
      <c r="D40">
        <v>567</v>
      </c>
      <c r="E40">
        <v>4.8</v>
      </c>
      <c r="F40" t="s">
        <v>23</v>
      </c>
      <c r="K40" t="s">
        <v>24</v>
      </c>
      <c r="L40" t="s">
        <v>175</v>
      </c>
      <c r="M40" t="s">
        <v>176</v>
      </c>
      <c r="N40" t="s">
        <v>177</v>
      </c>
      <c r="O40" t="s">
        <v>28</v>
      </c>
      <c r="T40" t="s">
        <v>29</v>
      </c>
      <c r="U40" t="s">
        <v>24</v>
      </c>
      <c r="V40" t="s">
        <v>24</v>
      </c>
    </row>
    <row r="41" spans="1:22" x14ac:dyDescent="0.25">
      <c r="A41" t="s">
        <v>178</v>
      </c>
      <c r="B41">
        <v>-7.1829999999999998</v>
      </c>
      <c r="C41">
        <v>123.092</v>
      </c>
      <c r="D41">
        <v>616</v>
      </c>
      <c r="E41">
        <v>4.5</v>
      </c>
      <c r="F41" t="s">
        <v>23</v>
      </c>
      <c r="K41" t="s">
        <v>24</v>
      </c>
      <c r="L41" t="s">
        <v>179</v>
      </c>
      <c r="M41" t="s">
        <v>180</v>
      </c>
      <c r="N41" t="s">
        <v>181</v>
      </c>
      <c r="O41" t="s">
        <v>28</v>
      </c>
      <c r="T41" t="s">
        <v>29</v>
      </c>
      <c r="U41" t="s">
        <v>24</v>
      </c>
      <c r="V41" t="s">
        <v>24</v>
      </c>
    </row>
    <row r="42" spans="1:22" x14ac:dyDescent="0.25">
      <c r="A42" t="s">
        <v>182</v>
      </c>
      <c r="B42">
        <v>-7.3719999999999999</v>
      </c>
      <c r="C42">
        <v>120.40900000000001</v>
      </c>
      <c r="D42">
        <v>600</v>
      </c>
      <c r="E42">
        <v>5</v>
      </c>
      <c r="F42" t="s">
        <v>23</v>
      </c>
      <c r="K42" t="s">
        <v>24</v>
      </c>
      <c r="L42" t="s">
        <v>183</v>
      </c>
      <c r="M42" t="s">
        <v>184</v>
      </c>
      <c r="N42" t="s">
        <v>185</v>
      </c>
      <c r="O42" t="s">
        <v>28</v>
      </c>
      <c r="T42" t="s">
        <v>29</v>
      </c>
      <c r="U42" t="s">
        <v>24</v>
      </c>
      <c r="V42" t="s">
        <v>24</v>
      </c>
    </row>
    <row r="43" spans="1:22" x14ac:dyDescent="0.25">
      <c r="A43" t="s">
        <v>186</v>
      </c>
      <c r="B43">
        <v>-6.8650000000000002</v>
      </c>
      <c r="C43">
        <v>124.858</v>
      </c>
      <c r="D43">
        <v>573</v>
      </c>
      <c r="E43">
        <v>4.9000000000000004</v>
      </c>
      <c r="F43" t="s">
        <v>23</v>
      </c>
      <c r="K43" t="s">
        <v>24</v>
      </c>
      <c r="L43" t="s">
        <v>187</v>
      </c>
      <c r="M43" t="s">
        <v>188</v>
      </c>
      <c r="N43" t="s">
        <v>189</v>
      </c>
      <c r="O43" t="s">
        <v>28</v>
      </c>
      <c r="T43" t="s">
        <v>29</v>
      </c>
      <c r="U43" t="s">
        <v>24</v>
      </c>
      <c r="V43" t="s">
        <v>24</v>
      </c>
    </row>
    <row r="44" spans="1:22" x14ac:dyDescent="0.25">
      <c r="A44" t="s">
        <v>190</v>
      </c>
      <c r="B44">
        <v>-7.5</v>
      </c>
      <c r="C44">
        <v>122.14700000000001</v>
      </c>
      <c r="D44">
        <v>170</v>
      </c>
      <c r="E44">
        <v>4.5</v>
      </c>
      <c r="F44" t="s">
        <v>23</v>
      </c>
      <c r="K44" t="s">
        <v>24</v>
      </c>
      <c r="L44" t="s">
        <v>191</v>
      </c>
      <c r="M44" t="s">
        <v>192</v>
      </c>
      <c r="N44" t="s">
        <v>193</v>
      </c>
      <c r="O44" t="s">
        <v>28</v>
      </c>
      <c r="T44" t="s">
        <v>29</v>
      </c>
      <c r="U44" t="s">
        <v>24</v>
      </c>
      <c r="V44" t="s">
        <v>24</v>
      </c>
    </row>
    <row r="45" spans="1:22" x14ac:dyDescent="0.25">
      <c r="A45" t="s">
        <v>194</v>
      </c>
      <c r="B45">
        <v>-7.1040000000000001</v>
      </c>
      <c r="C45">
        <v>124.973</v>
      </c>
      <c r="D45">
        <v>558</v>
      </c>
      <c r="E45">
        <v>5</v>
      </c>
      <c r="F45" t="s">
        <v>23</v>
      </c>
      <c r="K45" t="s">
        <v>24</v>
      </c>
      <c r="L45" t="s">
        <v>195</v>
      </c>
      <c r="M45" t="s">
        <v>196</v>
      </c>
      <c r="N45" t="s">
        <v>197</v>
      </c>
      <c r="O45" t="s">
        <v>28</v>
      </c>
      <c r="T45" t="s">
        <v>29</v>
      </c>
      <c r="U45" t="s">
        <v>24</v>
      </c>
      <c r="V45" t="s">
        <v>24</v>
      </c>
    </row>
    <row r="46" spans="1:22" x14ac:dyDescent="0.25">
      <c r="A46" t="s">
        <v>198</v>
      </c>
      <c r="B46">
        <v>-7.327</v>
      </c>
      <c r="C46">
        <v>122.211</v>
      </c>
      <c r="D46">
        <v>632</v>
      </c>
      <c r="E46">
        <v>4.8</v>
      </c>
      <c r="F46" t="s">
        <v>23</v>
      </c>
      <c r="K46" t="s">
        <v>24</v>
      </c>
      <c r="L46" t="s">
        <v>199</v>
      </c>
      <c r="M46" t="s">
        <v>200</v>
      </c>
      <c r="N46" t="s">
        <v>201</v>
      </c>
      <c r="O46" t="s">
        <v>28</v>
      </c>
      <c r="T46" t="s">
        <v>29</v>
      </c>
      <c r="U46" t="s">
        <v>24</v>
      </c>
      <c r="V46" t="s">
        <v>24</v>
      </c>
    </row>
    <row r="47" spans="1:22" x14ac:dyDescent="0.25">
      <c r="A47" t="s">
        <v>202</v>
      </c>
      <c r="B47">
        <v>-7.2149999999999999</v>
      </c>
      <c r="C47">
        <v>124.788</v>
      </c>
      <c r="D47">
        <v>514</v>
      </c>
      <c r="E47">
        <v>5.0999999999999996</v>
      </c>
      <c r="F47" t="s">
        <v>23</v>
      </c>
      <c r="K47" t="s">
        <v>24</v>
      </c>
      <c r="L47" t="s">
        <v>203</v>
      </c>
      <c r="M47" t="s">
        <v>204</v>
      </c>
      <c r="N47" t="s">
        <v>205</v>
      </c>
      <c r="O47" t="s">
        <v>28</v>
      </c>
      <c r="T47" t="s">
        <v>29</v>
      </c>
      <c r="U47" t="s">
        <v>24</v>
      </c>
      <c r="V47" t="s">
        <v>24</v>
      </c>
    </row>
    <row r="48" spans="1:22" x14ac:dyDescent="0.25">
      <c r="A48" t="s">
        <v>206</v>
      </c>
      <c r="B48">
        <v>-7.2249999999999996</v>
      </c>
      <c r="C48">
        <v>122.10299999999999</v>
      </c>
      <c r="D48">
        <v>517</v>
      </c>
      <c r="E48">
        <v>4.9000000000000004</v>
      </c>
      <c r="F48" t="s">
        <v>23</v>
      </c>
      <c r="K48" t="s">
        <v>24</v>
      </c>
      <c r="L48" t="s">
        <v>207</v>
      </c>
      <c r="M48" t="s">
        <v>208</v>
      </c>
      <c r="N48" t="s">
        <v>209</v>
      </c>
      <c r="O48" t="s">
        <v>28</v>
      </c>
      <c r="T48" t="s">
        <v>29</v>
      </c>
      <c r="U48" t="s">
        <v>24</v>
      </c>
      <c r="V48" t="s">
        <v>24</v>
      </c>
    </row>
    <row r="49" spans="1:22" x14ac:dyDescent="0.25">
      <c r="A49" t="s">
        <v>210</v>
      </c>
      <c r="B49">
        <v>-7.2990000000000004</v>
      </c>
      <c r="C49">
        <v>123.191</v>
      </c>
      <c r="D49">
        <v>592</v>
      </c>
      <c r="E49">
        <v>5.2</v>
      </c>
      <c r="F49" t="s">
        <v>23</v>
      </c>
      <c r="K49" t="s">
        <v>24</v>
      </c>
      <c r="L49" t="s">
        <v>211</v>
      </c>
      <c r="M49" t="s">
        <v>212</v>
      </c>
      <c r="N49" t="s">
        <v>213</v>
      </c>
      <c r="O49" t="s">
        <v>28</v>
      </c>
      <c r="T49" t="s">
        <v>29</v>
      </c>
      <c r="U49" t="s">
        <v>24</v>
      </c>
      <c r="V49" t="s">
        <v>24</v>
      </c>
    </row>
    <row r="50" spans="1:22" x14ac:dyDescent="0.25">
      <c r="A50" t="s">
        <v>214</v>
      </c>
      <c r="B50">
        <v>-7.1989999999999998</v>
      </c>
      <c r="C50">
        <v>124.753</v>
      </c>
      <c r="D50">
        <v>508</v>
      </c>
      <c r="E50">
        <v>4.9000000000000004</v>
      </c>
      <c r="F50" t="s">
        <v>23</v>
      </c>
      <c r="K50" t="s">
        <v>24</v>
      </c>
      <c r="L50" t="s">
        <v>215</v>
      </c>
      <c r="M50" t="s">
        <v>216</v>
      </c>
      <c r="N50" t="s">
        <v>217</v>
      </c>
      <c r="O50" t="s">
        <v>28</v>
      </c>
      <c r="T50" t="s">
        <v>29</v>
      </c>
      <c r="U50" t="s">
        <v>24</v>
      </c>
      <c r="V50" t="s">
        <v>24</v>
      </c>
    </row>
    <row r="51" spans="1:22" x14ac:dyDescent="0.25">
      <c r="A51" t="s">
        <v>218</v>
      </c>
      <c r="B51">
        <v>-7.2030000000000003</v>
      </c>
      <c r="C51">
        <v>120.336</v>
      </c>
      <c r="D51">
        <v>593.70000000000005</v>
      </c>
      <c r="E51">
        <v>4.5999999999999996</v>
      </c>
      <c r="F51" t="s">
        <v>23</v>
      </c>
      <c r="J51">
        <v>0.7</v>
      </c>
      <c r="K51" t="s">
        <v>24</v>
      </c>
      <c r="L51" t="s">
        <v>219</v>
      </c>
      <c r="M51" t="s">
        <v>220</v>
      </c>
      <c r="N51" t="s">
        <v>221</v>
      </c>
      <c r="O51" t="s">
        <v>28</v>
      </c>
      <c r="Q51">
        <v>6.6</v>
      </c>
      <c r="S51">
        <v>5</v>
      </c>
      <c r="T51" t="s">
        <v>29</v>
      </c>
      <c r="U51" t="s">
        <v>24</v>
      </c>
      <c r="V51" t="s">
        <v>24</v>
      </c>
    </row>
    <row r="52" spans="1:22" x14ac:dyDescent="0.25">
      <c r="A52" t="s">
        <v>222</v>
      </c>
      <c r="B52">
        <v>-6.9470000000000001</v>
      </c>
      <c r="C52">
        <v>123.22499999999999</v>
      </c>
      <c r="D52">
        <v>648.4</v>
      </c>
      <c r="E52">
        <v>5.0999999999999996</v>
      </c>
      <c r="F52" t="s">
        <v>23</v>
      </c>
      <c r="J52">
        <v>0.9</v>
      </c>
      <c r="K52" t="s">
        <v>24</v>
      </c>
      <c r="L52" t="s">
        <v>223</v>
      </c>
      <c r="M52" t="s">
        <v>224</v>
      </c>
      <c r="N52" t="s">
        <v>225</v>
      </c>
      <c r="O52" t="s">
        <v>28</v>
      </c>
      <c r="Q52">
        <v>4.0999999999999996</v>
      </c>
      <c r="S52">
        <v>14</v>
      </c>
      <c r="T52" t="s">
        <v>29</v>
      </c>
      <c r="U52" t="s">
        <v>24</v>
      </c>
      <c r="V52" t="s">
        <v>24</v>
      </c>
    </row>
    <row r="53" spans="1:22" x14ac:dyDescent="0.25">
      <c r="A53" t="s">
        <v>226</v>
      </c>
      <c r="B53">
        <v>-7.4790000000000001</v>
      </c>
      <c r="C53">
        <v>120.211</v>
      </c>
      <c r="D53">
        <v>556.79999999999995</v>
      </c>
      <c r="E53">
        <v>4.9000000000000004</v>
      </c>
      <c r="F53" t="s">
        <v>23</v>
      </c>
      <c r="J53">
        <v>0.9</v>
      </c>
      <c r="K53" t="s">
        <v>24</v>
      </c>
      <c r="L53" t="s">
        <v>227</v>
      </c>
      <c r="M53" t="s">
        <v>228</v>
      </c>
      <c r="N53" t="s">
        <v>229</v>
      </c>
      <c r="O53" t="s">
        <v>28</v>
      </c>
      <c r="Q53">
        <v>5.7</v>
      </c>
      <c r="S53">
        <v>7</v>
      </c>
      <c r="T53" t="s">
        <v>29</v>
      </c>
      <c r="U53" t="s">
        <v>24</v>
      </c>
      <c r="V53" t="s">
        <v>24</v>
      </c>
    </row>
    <row r="54" spans="1:22" x14ac:dyDescent="0.25">
      <c r="A54" t="s">
        <v>230</v>
      </c>
      <c r="B54">
        <v>-7.0469999999999997</v>
      </c>
      <c r="C54">
        <v>125.22</v>
      </c>
      <c r="D54">
        <v>529.4</v>
      </c>
      <c r="E54">
        <v>5.0999999999999996</v>
      </c>
      <c r="F54" t="s">
        <v>23</v>
      </c>
      <c r="J54">
        <v>0.7</v>
      </c>
      <c r="K54" t="s">
        <v>24</v>
      </c>
      <c r="L54" t="s">
        <v>231</v>
      </c>
      <c r="M54" t="s">
        <v>232</v>
      </c>
      <c r="N54" t="s">
        <v>111</v>
      </c>
      <c r="O54" t="s">
        <v>28</v>
      </c>
      <c r="Q54">
        <v>5.4</v>
      </c>
      <c r="S54">
        <v>5</v>
      </c>
      <c r="T54" t="s">
        <v>29</v>
      </c>
      <c r="U54" t="s">
        <v>24</v>
      </c>
      <c r="V54" t="s">
        <v>24</v>
      </c>
    </row>
    <row r="55" spans="1:22" x14ac:dyDescent="0.25">
      <c r="A55" t="s">
        <v>233</v>
      </c>
      <c r="B55">
        <v>-7.2910000000000004</v>
      </c>
      <c r="C55">
        <v>120.31</v>
      </c>
      <c r="D55">
        <v>572.5</v>
      </c>
      <c r="E55">
        <v>5.5</v>
      </c>
      <c r="F55" t="s">
        <v>23</v>
      </c>
      <c r="J55">
        <v>1</v>
      </c>
      <c r="K55" t="s">
        <v>24</v>
      </c>
      <c r="L55" t="s">
        <v>234</v>
      </c>
      <c r="M55" t="s">
        <v>235</v>
      </c>
      <c r="N55" t="s">
        <v>236</v>
      </c>
      <c r="O55" t="s">
        <v>28</v>
      </c>
      <c r="Q55">
        <v>3.6</v>
      </c>
      <c r="S55">
        <v>16</v>
      </c>
      <c r="T55" t="s">
        <v>29</v>
      </c>
      <c r="U55" t="s">
        <v>24</v>
      </c>
      <c r="V55" t="s">
        <v>24</v>
      </c>
    </row>
    <row r="56" spans="1:22" x14ac:dyDescent="0.25">
      <c r="A56" t="s">
        <v>237</v>
      </c>
      <c r="B56">
        <v>-7.242</v>
      </c>
      <c r="C56">
        <v>123.066</v>
      </c>
      <c r="D56">
        <v>555.29999999999995</v>
      </c>
      <c r="E56">
        <v>4.8</v>
      </c>
      <c r="F56" t="s">
        <v>23</v>
      </c>
      <c r="J56">
        <v>0.9</v>
      </c>
      <c r="K56" t="s">
        <v>24</v>
      </c>
      <c r="L56" t="s">
        <v>238</v>
      </c>
      <c r="M56" t="s">
        <v>239</v>
      </c>
      <c r="N56" t="s">
        <v>240</v>
      </c>
      <c r="O56" t="s">
        <v>28</v>
      </c>
      <c r="Q56">
        <v>3.2</v>
      </c>
      <c r="S56">
        <v>5</v>
      </c>
      <c r="T56" t="s">
        <v>29</v>
      </c>
      <c r="U56" t="s">
        <v>24</v>
      </c>
      <c r="V56" t="s">
        <v>24</v>
      </c>
    </row>
    <row r="57" spans="1:22" x14ac:dyDescent="0.25">
      <c r="A57" t="s">
        <v>241</v>
      </c>
      <c r="B57">
        <v>-7.3789999999999996</v>
      </c>
      <c r="C57">
        <v>123.749</v>
      </c>
      <c r="D57">
        <v>570.79999999999995</v>
      </c>
      <c r="E57">
        <v>5.3</v>
      </c>
      <c r="F57" t="s">
        <v>23</v>
      </c>
      <c r="J57">
        <v>1</v>
      </c>
      <c r="K57" t="s">
        <v>24</v>
      </c>
      <c r="L57" t="s">
        <v>242</v>
      </c>
      <c r="M57" t="s">
        <v>243</v>
      </c>
      <c r="N57" t="s">
        <v>244</v>
      </c>
      <c r="O57" t="s">
        <v>28</v>
      </c>
      <c r="Q57">
        <v>1.4</v>
      </c>
      <c r="S57">
        <v>36</v>
      </c>
      <c r="T57" t="s">
        <v>29</v>
      </c>
      <c r="U57" t="s">
        <v>24</v>
      </c>
      <c r="V57" t="s">
        <v>24</v>
      </c>
    </row>
    <row r="58" spans="1:22" x14ac:dyDescent="0.25">
      <c r="A58" t="s">
        <v>245</v>
      </c>
      <c r="B58">
        <v>-6.6159999999999997</v>
      </c>
      <c r="C58">
        <v>123.34699999999999</v>
      </c>
      <c r="D58">
        <v>223.2</v>
      </c>
      <c r="E58">
        <v>5</v>
      </c>
      <c r="F58" t="s">
        <v>23</v>
      </c>
      <c r="J58">
        <v>1.3</v>
      </c>
      <c r="K58" t="s">
        <v>24</v>
      </c>
      <c r="L58" t="s">
        <v>246</v>
      </c>
      <c r="M58" t="s">
        <v>247</v>
      </c>
      <c r="N58" t="s">
        <v>248</v>
      </c>
      <c r="O58" t="s">
        <v>28</v>
      </c>
      <c r="Q58">
        <v>13.1</v>
      </c>
      <c r="S58">
        <v>7</v>
      </c>
      <c r="T58" t="s">
        <v>29</v>
      </c>
      <c r="U58" t="s">
        <v>24</v>
      </c>
      <c r="V58" t="s">
        <v>24</v>
      </c>
    </row>
    <row r="59" spans="1:22" x14ac:dyDescent="0.25">
      <c r="A59" t="s">
        <v>249</v>
      </c>
      <c r="B59">
        <v>-7.0949999999999998</v>
      </c>
      <c r="C59">
        <v>123.785</v>
      </c>
      <c r="D59">
        <v>594.70000000000005</v>
      </c>
      <c r="E59">
        <v>5.0999999999999996</v>
      </c>
      <c r="F59" t="s">
        <v>23</v>
      </c>
      <c r="J59">
        <v>0.9</v>
      </c>
      <c r="K59" t="s">
        <v>24</v>
      </c>
      <c r="L59" t="s">
        <v>250</v>
      </c>
      <c r="M59" t="s">
        <v>251</v>
      </c>
      <c r="N59" t="s">
        <v>252</v>
      </c>
      <c r="O59" t="s">
        <v>28</v>
      </c>
      <c r="Q59">
        <v>2.8</v>
      </c>
      <c r="S59">
        <v>10</v>
      </c>
      <c r="T59" t="s">
        <v>29</v>
      </c>
      <c r="U59" t="s">
        <v>24</v>
      </c>
      <c r="V59" t="s">
        <v>24</v>
      </c>
    </row>
    <row r="60" spans="1:22" x14ac:dyDescent="0.25">
      <c r="A60" t="s">
        <v>253</v>
      </c>
      <c r="B60">
        <v>-7.4039999999999999</v>
      </c>
      <c r="C60">
        <v>120.30200000000001</v>
      </c>
      <c r="D60">
        <v>569.79999999999995</v>
      </c>
      <c r="E60">
        <v>5.2</v>
      </c>
      <c r="F60" t="s">
        <v>23</v>
      </c>
      <c r="J60">
        <v>0.7</v>
      </c>
      <c r="K60" t="s">
        <v>24</v>
      </c>
      <c r="L60" t="s">
        <v>254</v>
      </c>
      <c r="M60" t="s">
        <v>255</v>
      </c>
      <c r="N60" t="s">
        <v>256</v>
      </c>
      <c r="O60" t="s">
        <v>28</v>
      </c>
      <c r="Q60">
        <v>4.9000000000000004</v>
      </c>
      <c r="S60">
        <v>2</v>
      </c>
      <c r="T60" t="s">
        <v>29</v>
      </c>
      <c r="U60" t="s">
        <v>24</v>
      </c>
      <c r="V60" t="s">
        <v>24</v>
      </c>
    </row>
    <row r="61" spans="1:22" x14ac:dyDescent="0.25">
      <c r="A61" t="s">
        <v>257</v>
      </c>
      <c r="B61">
        <v>-6.827</v>
      </c>
      <c r="C61">
        <v>125.134</v>
      </c>
      <c r="D61">
        <v>557</v>
      </c>
      <c r="E61">
        <v>4.7</v>
      </c>
      <c r="F61" t="s">
        <v>23</v>
      </c>
      <c r="J61">
        <v>1.1000000000000001</v>
      </c>
      <c r="K61" t="s">
        <v>24</v>
      </c>
      <c r="L61" t="s">
        <v>258</v>
      </c>
      <c r="M61" t="s">
        <v>259</v>
      </c>
      <c r="N61" t="s">
        <v>260</v>
      </c>
      <c r="O61" t="s">
        <v>28</v>
      </c>
      <c r="Q61">
        <v>7.1</v>
      </c>
      <c r="S61">
        <v>3</v>
      </c>
      <c r="T61" t="s">
        <v>29</v>
      </c>
      <c r="U61" t="s">
        <v>24</v>
      </c>
      <c r="V61" t="s">
        <v>24</v>
      </c>
    </row>
    <row r="62" spans="1:22" x14ac:dyDescent="0.25">
      <c r="A62" t="s">
        <v>261</v>
      </c>
      <c r="B62">
        <v>-7.2009999999999996</v>
      </c>
      <c r="C62">
        <v>120.358</v>
      </c>
      <c r="D62">
        <v>33</v>
      </c>
      <c r="E62">
        <v>4.8</v>
      </c>
      <c r="F62" t="s">
        <v>23</v>
      </c>
      <c r="J62">
        <v>1.4</v>
      </c>
      <c r="K62" t="s">
        <v>24</v>
      </c>
      <c r="L62" t="s">
        <v>262</v>
      </c>
      <c r="M62" t="s">
        <v>263</v>
      </c>
      <c r="N62" t="s">
        <v>264</v>
      </c>
      <c r="O62" t="s">
        <v>28</v>
      </c>
      <c r="S62">
        <v>5</v>
      </c>
      <c r="T62" t="s">
        <v>29</v>
      </c>
      <c r="U62" t="s">
        <v>24</v>
      </c>
      <c r="V62" t="s">
        <v>24</v>
      </c>
    </row>
    <row r="63" spans="1:22" x14ac:dyDescent="0.25">
      <c r="A63" t="s">
        <v>265</v>
      </c>
      <c r="B63">
        <v>-7.2910000000000004</v>
      </c>
      <c r="C63">
        <v>124.759</v>
      </c>
      <c r="D63">
        <v>524</v>
      </c>
      <c r="E63">
        <v>4.5999999999999996</v>
      </c>
      <c r="F63" t="s">
        <v>23</v>
      </c>
      <c r="J63">
        <v>0.6</v>
      </c>
      <c r="K63" t="s">
        <v>24</v>
      </c>
      <c r="L63" t="s">
        <v>266</v>
      </c>
      <c r="M63" t="s">
        <v>267</v>
      </c>
      <c r="N63" t="s">
        <v>268</v>
      </c>
      <c r="O63" t="s">
        <v>28</v>
      </c>
      <c r="Q63">
        <v>4.2</v>
      </c>
      <c r="S63">
        <v>3</v>
      </c>
      <c r="T63" t="s">
        <v>29</v>
      </c>
      <c r="U63" t="s">
        <v>24</v>
      </c>
      <c r="V63" t="s">
        <v>24</v>
      </c>
    </row>
    <row r="64" spans="1:22" x14ac:dyDescent="0.25">
      <c r="A64" t="s">
        <v>269</v>
      </c>
      <c r="B64">
        <v>-7.3220000000000001</v>
      </c>
      <c r="C64">
        <v>119.70699999999999</v>
      </c>
      <c r="D64">
        <v>575.29999999999995</v>
      </c>
      <c r="E64">
        <v>5</v>
      </c>
      <c r="F64" t="s">
        <v>23</v>
      </c>
      <c r="J64">
        <v>1</v>
      </c>
      <c r="K64" t="s">
        <v>24</v>
      </c>
      <c r="L64" t="s">
        <v>270</v>
      </c>
      <c r="M64" t="s">
        <v>271</v>
      </c>
      <c r="N64" t="s">
        <v>272</v>
      </c>
      <c r="O64" t="s">
        <v>28</v>
      </c>
      <c r="Q64">
        <v>3.7</v>
      </c>
      <c r="S64">
        <v>14</v>
      </c>
      <c r="T64" t="s">
        <v>29</v>
      </c>
      <c r="U64" t="s">
        <v>24</v>
      </c>
      <c r="V64" t="s">
        <v>24</v>
      </c>
    </row>
    <row r="65" spans="1:22" x14ac:dyDescent="0.25">
      <c r="A65" t="s">
        <v>273</v>
      </c>
      <c r="B65">
        <v>-7.3680000000000003</v>
      </c>
      <c r="C65">
        <v>119.54300000000001</v>
      </c>
      <c r="D65">
        <v>574</v>
      </c>
      <c r="E65">
        <v>4.5</v>
      </c>
      <c r="F65" t="s">
        <v>23</v>
      </c>
      <c r="J65">
        <v>0.8</v>
      </c>
      <c r="K65" t="s">
        <v>24</v>
      </c>
      <c r="L65" t="s">
        <v>274</v>
      </c>
      <c r="M65" t="s">
        <v>275</v>
      </c>
      <c r="N65" t="s">
        <v>276</v>
      </c>
      <c r="O65" t="s">
        <v>28</v>
      </c>
      <c r="Q65">
        <v>14.1</v>
      </c>
      <c r="S65">
        <v>3</v>
      </c>
      <c r="T65" t="s">
        <v>29</v>
      </c>
      <c r="U65" t="s">
        <v>24</v>
      </c>
      <c r="V65" t="s">
        <v>24</v>
      </c>
    </row>
    <row r="66" spans="1:22" x14ac:dyDescent="0.25">
      <c r="A66" t="s">
        <v>277</v>
      </c>
      <c r="B66">
        <v>-7.2709999999999999</v>
      </c>
      <c r="C66">
        <v>119.626</v>
      </c>
      <c r="D66">
        <v>575</v>
      </c>
      <c r="E66">
        <v>4.9000000000000004</v>
      </c>
      <c r="F66" t="s">
        <v>23</v>
      </c>
      <c r="J66">
        <v>0.7</v>
      </c>
      <c r="K66" t="s">
        <v>24</v>
      </c>
      <c r="L66" t="s">
        <v>278</v>
      </c>
      <c r="M66" t="s">
        <v>279</v>
      </c>
      <c r="N66" t="s">
        <v>280</v>
      </c>
      <c r="O66" t="s">
        <v>28</v>
      </c>
      <c r="S66">
        <v>1</v>
      </c>
      <c r="T66" t="s">
        <v>29</v>
      </c>
      <c r="U66" t="s">
        <v>24</v>
      </c>
      <c r="V66" t="s">
        <v>24</v>
      </c>
    </row>
    <row r="67" spans="1:22" x14ac:dyDescent="0.25">
      <c r="A67" t="s">
        <v>281</v>
      </c>
      <c r="B67">
        <v>-7.274</v>
      </c>
      <c r="C67">
        <v>123.396</v>
      </c>
      <c r="D67">
        <v>600.4</v>
      </c>
      <c r="E67">
        <v>5.0999999999999996</v>
      </c>
      <c r="F67" t="s">
        <v>23</v>
      </c>
      <c r="J67">
        <v>0.9</v>
      </c>
      <c r="K67" t="s">
        <v>24</v>
      </c>
      <c r="L67" t="s">
        <v>282</v>
      </c>
      <c r="M67" t="s">
        <v>283</v>
      </c>
      <c r="N67" t="s">
        <v>284</v>
      </c>
      <c r="O67" t="s">
        <v>28</v>
      </c>
      <c r="Q67">
        <v>2.2000000000000002</v>
      </c>
      <c r="S67">
        <v>20</v>
      </c>
      <c r="T67" t="s">
        <v>29</v>
      </c>
      <c r="U67" t="s">
        <v>24</v>
      </c>
      <c r="V67" t="s">
        <v>24</v>
      </c>
    </row>
    <row r="68" spans="1:22" x14ac:dyDescent="0.25">
      <c r="A68" t="s">
        <v>285</v>
      </c>
      <c r="B68">
        <v>-5.9370000000000003</v>
      </c>
      <c r="C68">
        <v>122.636</v>
      </c>
      <c r="D68">
        <v>46.3</v>
      </c>
      <c r="E68">
        <v>5.5</v>
      </c>
      <c r="F68" t="s">
        <v>23</v>
      </c>
      <c r="J68">
        <v>1</v>
      </c>
      <c r="K68" t="s">
        <v>24</v>
      </c>
      <c r="L68" t="s">
        <v>286</v>
      </c>
      <c r="M68" t="s">
        <v>287</v>
      </c>
      <c r="N68" t="s">
        <v>288</v>
      </c>
      <c r="O68" t="s">
        <v>28</v>
      </c>
      <c r="S68">
        <v>20</v>
      </c>
      <c r="T68" t="s">
        <v>29</v>
      </c>
      <c r="U68" t="s">
        <v>24</v>
      </c>
      <c r="V68" t="s">
        <v>24</v>
      </c>
    </row>
    <row r="69" spans="1:22" x14ac:dyDescent="0.25">
      <c r="A69" t="s">
        <v>289</v>
      </c>
      <c r="B69">
        <v>-7.45</v>
      </c>
      <c r="C69">
        <v>119.81399999999999</v>
      </c>
      <c r="D69">
        <v>33</v>
      </c>
      <c r="E69">
        <v>5.0999999999999996</v>
      </c>
      <c r="F69" t="s">
        <v>23</v>
      </c>
      <c r="J69">
        <v>0.5</v>
      </c>
      <c r="K69" t="s">
        <v>24</v>
      </c>
      <c r="L69" t="s">
        <v>290</v>
      </c>
      <c r="M69" t="s">
        <v>291</v>
      </c>
      <c r="N69" t="s">
        <v>292</v>
      </c>
      <c r="O69" t="s">
        <v>28</v>
      </c>
      <c r="S69">
        <v>4</v>
      </c>
      <c r="T69" t="s">
        <v>29</v>
      </c>
      <c r="U69" t="s">
        <v>24</v>
      </c>
      <c r="V69" t="s">
        <v>24</v>
      </c>
    </row>
    <row r="70" spans="1:22" x14ac:dyDescent="0.25">
      <c r="A70" t="s">
        <v>293</v>
      </c>
      <c r="B70">
        <v>-7.5579999999999998</v>
      </c>
      <c r="C70">
        <v>124.996</v>
      </c>
      <c r="D70">
        <v>409.5</v>
      </c>
      <c r="E70">
        <v>4.8</v>
      </c>
      <c r="F70" t="s">
        <v>23</v>
      </c>
      <c r="J70">
        <v>0.9</v>
      </c>
      <c r="K70" t="s">
        <v>24</v>
      </c>
      <c r="L70" t="s">
        <v>294</v>
      </c>
      <c r="M70" t="s">
        <v>295</v>
      </c>
      <c r="N70" t="s">
        <v>296</v>
      </c>
      <c r="O70" t="s">
        <v>28</v>
      </c>
      <c r="Q70">
        <v>5</v>
      </c>
      <c r="S70">
        <v>5</v>
      </c>
      <c r="T70" t="s">
        <v>29</v>
      </c>
      <c r="U70" t="s">
        <v>24</v>
      </c>
      <c r="V70" t="s">
        <v>24</v>
      </c>
    </row>
    <row r="71" spans="1:22" x14ac:dyDescent="0.25">
      <c r="A71" t="s">
        <v>297</v>
      </c>
      <c r="B71">
        <v>-7.3540000000000001</v>
      </c>
      <c r="C71">
        <v>121.18</v>
      </c>
      <c r="D71">
        <v>547.1</v>
      </c>
      <c r="E71">
        <v>5.2</v>
      </c>
      <c r="F71" t="s">
        <v>23</v>
      </c>
      <c r="J71">
        <v>1.1000000000000001</v>
      </c>
      <c r="K71" t="s">
        <v>24</v>
      </c>
      <c r="L71" t="s">
        <v>298</v>
      </c>
      <c r="M71" t="s">
        <v>299</v>
      </c>
      <c r="N71" t="s">
        <v>300</v>
      </c>
      <c r="O71" t="s">
        <v>28</v>
      </c>
      <c r="Q71">
        <v>5.2</v>
      </c>
      <c r="S71">
        <v>11</v>
      </c>
      <c r="T71" t="s">
        <v>29</v>
      </c>
      <c r="U71" t="s">
        <v>24</v>
      </c>
      <c r="V71" t="s">
        <v>24</v>
      </c>
    </row>
    <row r="72" spans="1:22" x14ac:dyDescent="0.25">
      <c r="A72" t="s">
        <v>301</v>
      </c>
      <c r="B72">
        <v>-7.056</v>
      </c>
      <c r="C72">
        <v>123.389</v>
      </c>
      <c r="D72">
        <v>642.1</v>
      </c>
      <c r="E72">
        <v>4.5999999999999996</v>
      </c>
      <c r="F72" t="s">
        <v>23</v>
      </c>
      <c r="J72">
        <v>0.8</v>
      </c>
      <c r="K72" t="s">
        <v>24</v>
      </c>
      <c r="L72" t="s">
        <v>302</v>
      </c>
      <c r="M72" t="s">
        <v>303</v>
      </c>
      <c r="N72" t="s">
        <v>304</v>
      </c>
      <c r="O72" t="s">
        <v>28</v>
      </c>
      <c r="Q72">
        <v>4.2</v>
      </c>
      <c r="S72">
        <v>4</v>
      </c>
      <c r="T72" t="s">
        <v>29</v>
      </c>
      <c r="U72" t="s">
        <v>24</v>
      </c>
      <c r="V72" t="s">
        <v>24</v>
      </c>
    </row>
    <row r="73" spans="1:22" x14ac:dyDescent="0.25">
      <c r="A73" t="s">
        <v>305</v>
      </c>
      <c r="B73">
        <v>-6.38</v>
      </c>
      <c r="C73">
        <v>125.26</v>
      </c>
      <c r="D73">
        <v>571.6</v>
      </c>
      <c r="E73">
        <v>5.3</v>
      </c>
      <c r="F73" t="s">
        <v>23</v>
      </c>
      <c r="J73">
        <v>0.9</v>
      </c>
      <c r="K73" t="s">
        <v>24</v>
      </c>
      <c r="L73" t="s">
        <v>306</v>
      </c>
      <c r="M73" t="s">
        <v>307</v>
      </c>
      <c r="N73" t="s">
        <v>308</v>
      </c>
      <c r="O73" t="s">
        <v>28</v>
      </c>
      <c r="Q73">
        <v>1.7</v>
      </c>
      <c r="S73">
        <v>20</v>
      </c>
      <c r="T73" t="s">
        <v>29</v>
      </c>
      <c r="U73" t="s">
        <v>24</v>
      </c>
      <c r="V73" t="s">
        <v>24</v>
      </c>
    </row>
    <row r="74" spans="1:22" x14ac:dyDescent="0.25">
      <c r="A74" t="s">
        <v>309</v>
      </c>
      <c r="B74">
        <v>-7.2249999999999996</v>
      </c>
      <c r="C74">
        <v>120.307</v>
      </c>
      <c r="D74">
        <v>567.1</v>
      </c>
      <c r="E74">
        <v>5.4</v>
      </c>
      <c r="F74" t="s">
        <v>23</v>
      </c>
      <c r="J74">
        <v>0.9</v>
      </c>
      <c r="K74" t="s">
        <v>24</v>
      </c>
      <c r="L74" t="s">
        <v>310</v>
      </c>
      <c r="M74" t="s">
        <v>311</v>
      </c>
      <c r="N74" t="s">
        <v>312</v>
      </c>
      <c r="O74" t="s">
        <v>28</v>
      </c>
      <c r="Q74">
        <v>4.5</v>
      </c>
      <c r="S74">
        <v>20</v>
      </c>
      <c r="T74" t="s">
        <v>29</v>
      </c>
      <c r="U74" t="s">
        <v>24</v>
      </c>
      <c r="V74" t="s">
        <v>24</v>
      </c>
    </row>
    <row r="75" spans="1:22" x14ac:dyDescent="0.25">
      <c r="A75" t="s">
        <v>313</v>
      </c>
      <c r="B75">
        <v>-6.95</v>
      </c>
      <c r="C75">
        <v>125.093</v>
      </c>
      <c r="D75">
        <v>518.9</v>
      </c>
      <c r="E75">
        <v>4.5999999999999996</v>
      </c>
      <c r="F75" t="s">
        <v>23</v>
      </c>
      <c r="J75">
        <v>0.9</v>
      </c>
      <c r="K75" t="s">
        <v>24</v>
      </c>
      <c r="L75" t="s">
        <v>314</v>
      </c>
      <c r="M75" t="s">
        <v>315</v>
      </c>
      <c r="N75" t="s">
        <v>316</v>
      </c>
      <c r="O75" t="s">
        <v>28</v>
      </c>
      <c r="Q75">
        <v>5.6</v>
      </c>
      <c r="S75">
        <v>5</v>
      </c>
      <c r="T75" t="s">
        <v>29</v>
      </c>
      <c r="U75" t="s">
        <v>24</v>
      </c>
      <c r="V75" t="s">
        <v>24</v>
      </c>
    </row>
    <row r="76" spans="1:22" x14ac:dyDescent="0.25">
      <c r="A76" t="s">
        <v>317</v>
      </c>
      <c r="B76">
        <v>-7.3040000000000003</v>
      </c>
      <c r="C76">
        <v>120.151</v>
      </c>
      <c r="D76">
        <v>608.5</v>
      </c>
      <c r="E76">
        <v>5.5</v>
      </c>
      <c r="F76" t="s">
        <v>318</v>
      </c>
      <c r="J76">
        <v>1.1000000000000001</v>
      </c>
      <c r="K76" t="s">
        <v>24</v>
      </c>
      <c r="L76" t="s">
        <v>319</v>
      </c>
      <c r="M76" t="s">
        <v>320</v>
      </c>
      <c r="N76" t="s">
        <v>321</v>
      </c>
      <c r="O76" t="s">
        <v>28</v>
      </c>
      <c r="Q76">
        <v>4.4000000000000004</v>
      </c>
      <c r="T76" t="s">
        <v>29</v>
      </c>
      <c r="U76" t="s">
        <v>24</v>
      </c>
      <c r="V76" t="s">
        <v>322</v>
      </c>
    </row>
    <row r="77" spans="1:22" x14ac:dyDescent="0.25">
      <c r="A77" t="s">
        <v>323</v>
      </c>
      <c r="B77">
        <v>-5.6609999999999996</v>
      </c>
      <c r="C77">
        <v>124.831</v>
      </c>
      <c r="D77">
        <v>601.29999999999995</v>
      </c>
      <c r="E77">
        <v>5.9</v>
      </c>
      <c r="F77" t="s">
        <v>318</v>
      </c>
      <c r="J77">
        <v>0.9</v>
      </c>
      <c r="K77" t="s">
        <v>24</v>
      </c>
      <c r="L77" t="s">
        <v>324</v>
      </c>
      <c r="M77" t="s">
        <v>325</v>
      </c>
      <c r="N77" t="s">
        <v>326</v>
      </c>
      <c r="O77" t="s">
        <v>28</v>
      </c>
      <c r="Q77">
        <v>1</v>
      </c>
      <c r="T77" t="s">
        <v>29</v>
      </c>
      <c r="U77" t="s">
        <v>24</v>
      </c>
      <c r="V77" t="s">
        <v>322</v>
      </c>
    </row>
    <row r="78" spans="1:22" x14ac:dyDescent="0.25">
      <c r="A78" t="s">
        <v>327</v>
      </c>
      <c r="B78">
        <v>-7.343</v>
      </c>
      <c r="C78">
        <v>124.304</v>
      </c>
      <c r="D78">
        <v>427.9</v>
      </c>
      <c r="E78">
        <v>4.8</v>
      </c>
      <c r="F78" t="s">
        <v>23</v>
      </c>
      <c r="J78">
        <v>1.3</v>
      </c>
      <c r="K78" t="s">
        <v>24</v>
      </c>
      <c r="L78" t="s">
        <v>328</v>
      </c>
      <c r="M78" t="s">
        <v>329</v>
      </c>
      <c r="N78" t="s">
        <v>330</v>
      </c>
      <c r="O78" t="s">
        <v>28</v>
      </c>
      <c r="Q78">
        <v>6.9</v>
      </c>
      <c r="S78">
        <v>6</v>
      </c>
      <c r="T78" t="s">
        <v>29</v>
      </c>
      <c r="U78" t="s">
        <v>24</v>
      </c>
      <c r="V78" t="s">
        <v>24</v>
      </c>
    </row>
    <row r="79" spans="1:22" x14ac:dyDescent="0.25">
      <c r="A79" t="s">
        <v>331</v>
      </c>
      <c r="B79">
        <v>-7.2119999999999997</v>
      </c>
      <c r="C79">
        <v>121.072</v>
      </c>
      <c r="D79">
        <v>575</v>
      </c>
      <c r="E79">
        <v>5.5</v>
      </c>
      <c r="F79" t="s">
        <v>318</v>
      </c>
      <c r="J79">
        <v>1</v>
      </c>
      <c r="K79" t="s">
        <v>24</v>
      </c>
      <c r="L79" t="s">
        <v>332</v>
      </c>
      <c r="M79" t="s">
        <v>333</v>
      </c>
      <c r="N79" t="s">
        <v>334</v>
      </c>
      <c r="O79" t="s">
        <v>28</v>
      </c>
      <c r="Q79">
        <v>2.6</v>
      </c>
      <c r="T79" t="s">
        <v>29</v>
      </c>
      <c r="U79" t="s">
        <v>24</v>
      </c>
      <c r="V79" t="s">
        <v>322</v>
      </c>
    </row>
    <row r="80" spans="1:22" x14ac:dyDescent="0.25">
      <c r="A80" t="s">
        <v>335</v>
      </c>
      <c r="B80">
        <v>-7.2039999999999997</v>
      </c>
      <c r="C80">
        <v>124.057</v>
      </c>
      <c r="D80">
        <v>554</v>
      </c>
      <c r="E80">
        <v>5</v>
      </c>
      <c r="F80" t="s">
        <v>23</v>
      </c>
      <c r="J80">
        <v>1</v>
      </c>
      <c r="K80" t="s">
        <v>24</v>
      </c>
      <c r="L80" t="s">
        <v>336</v>
      </c>
      <c r="M80" t="s">
        <v>337</v>
      </c>
      <c r="N80" t="s">
        <v>338</v>
      </c>
      <c r="O80" t="s">
        <v>28</v>
      </c>
      <c r="Q80">
        <v>4.5999999999999996</v>
      </c>
      <c r="S80">
        <v>7</v>
      </c>
      <c r="T80" t="s">
        <v>29</v>
      </c>
      <c r="U80" t="s">
        <v>24</v>
      </c>
      <c r="V80" t="s">
        <v>24</v>
      </c>
    </row>
    <row r="81" spans="1:22" x14ac:dyDescent="0.25">
      <c r="A81" t="s">
        <v>339</v>
      </c>
      <c r="B81">
        <v>-6.431</v>
      </c>
      <c r="C81">
        <v>123.697</v>
      </c>
      <c r="D81">
        <v>656.6</v>
      </c>
      <c r="E81">
        <v>5.3</v>
      </c>
      <c r="F81" t="s">
        <v>318</v>
      </c>
      <c r="J81">
        <v>1</v>
      </c>
      <c r="K81" t="s">
        <v>24</v>
      </c>
      <c r="L81" t="s">
        <v>340</v>
      </c>
      <c r="M81" t="s">
        <v>341</v>
      </c>
      <c r="N81" t="s">
        <v>342</v>
      </c>
      <c r="O81" t="s">
        <v>28</v>
      </c>
      <c r="Q81">
        <v>3.7</v>
      </c>
      <c r="T81" t="s">
        <v>29</v>
      </c>
      <c r="U81" t="s">
        <v>24</v>
      </c>
      <c r="V81" t="s">
        <v>322</v>
      </c>
    </row>
    <row r="82" spans="1:22" x14ac:dyDescent="0.25">
      <c r="A82" t="s">
        <v>343</v>
      </c>
      <c r="B82">
        <v>-7.016</v>
      </c>
      <c r="C82">
        <v>125.265</v>
      </c>
      <c r="D82">
        <v>516.6</v>
      </c>
      <c r="E82">
        <v>5</v>
      </c>
      <c r="F82" t="s">
        <v>23</v>
      </c>
      <c r="J82">
        <v>1</v>
      </c>
      <c r="K82" t="s">
        <v>24</v>
      </c>
      <c r="L82" t="s">
        <v>344</v>
      </c>
      <c r="M82" t="s">
        <v>345</v>
      </c>
      <c r="N82" t="s">
        <v>346</v>
      </c>
      <c r="O82" t="s">
        <v>28</v>
      </c>
      <c r="Q82">
        <v>4.4000000000000004</v>
      </c>
      <c r="S82">
        <v>4</v>
      </c>
      <c r="T82" t="s">
        <v>29</v>
      </c>
      <c r="U82" t="s">
        <v>24</v>
      </c>
      <c r="V82" t="s">
        <v>24</v>
      </c>
    </row>
    <row r="83" spans="1:22" x14ac:dyDescent="0.25">
      <c r="A83" t="s">
        <v>347</v>
      </c>
      <c r="B83">
        <v>-7.125</v>
      </c>
      <c r="C83">
        <v>124.166</v>
      </c>
      <c r="D83">
        <v>617.4</v>
      </c>
      <c r="E83">
        <v>4.5999999999999996</v>
      </c>
      <c r="F83" t="s">
        <v>23</v>
      </c>
      <c r="J83">
        <v>0.6</v>
      </c>
      <c r="K83" t="s">
        <v>24</v>
      </c>
      <c r="L83" t="s">
        <v>348</v>
      </c>
      <c r="M83" t="s">
        <v>349</v>
      </c>
      <c r="N83" t="s">
        <v>338</v>
      </c>
      <c r="O83" t="s">
        <v>28</v>
      </c>
      <c r="Q83">
        <v>4.5999999999999996</v>
      </c>
      <c r="S83">
        <v>5</v>
      </c>
      <c r="T83" t="s">
        <v>29</v>
      </c>
      <c r="U83" t="s">
        <v>24</v>
      </c>
      <c r="V83" t="s">
        <v>24</v>
      </c>
    </row>
    <row r="84" spans="1:22" x14ac:dyDescent="0.25">
      <c r="A84" t="s">
        <v>350</v>
      </c>
      <c r="B84">
        <v>-4.8559999999999999</v>
      </c>
      <c r="C84">
        <v>125.18</v>
      </c>
      <c r="D84">
        <v>419.1</v>
      </c>
      <c r="E84">
        <v>4.7</v>
      </c>
      <c r="F84" t="s">
        <v>23</v>
      </c>
      <c r="J84">
        <v>1.3</v>
      </c>
      <c r="K84" t="s">
        <v>24</v>
      </c>
      <c r="L84" t="s">
        <v>351</v>
      </c>
      <c r="M84" t="s">
        <v>352</v>
      </c>
      <c r="N84" t="s">
        <v>353</v>
      </c>
      <c r="O84" t="s">
        <v>28</v>
      </c>
      <c r="Q84">
        <v>13.2</v>
      </c>
      <c r="S84">
        <v>10</v>
      </c>
      <c r="T84" t="s">
        <v>29</v>
      </c>
      <c r="U84" t="s">
        <v>24</v>
      </c>
      <c r="V84" t="s">
        <v>24</v>
      </c>
    </row>
    <row r="85" spans="1:22" x14ac:dyDescent="0.25">
      <c r="A85" t="s">
        <v>354</v>
      </c>
      <c r="B85">
        <v>-7.4630000000000001</v>
      </c>
      <c r="C85">
        <v>122.598</v>
      </c>
      <c r="D85">
        <v>33</v>
      </c>
      <c r="E85">
        <v>5</v>
      </c>
      <c r="F85" t="s">
        <v>23</v>
      </c>
      <c r="J85">
        <v>1.2</v>
      </c>
      <c r="K85" t="s">
        <v>24</v>
      </c>
      <c r="L85" t="s">
        <v>355</v>
      </c>
      <c r="M85" t="s">
        <v>356</v>
      </c>
      <c r="N85" t="s">
        <v>357</v>
      </c>
      <c r="O85" t="s">
        <v>28</v>
      </c>
      <c r="S85">
        <v>10</v>
      </c>
      <c r="T85" t="s">
        <v>29</v>
      </c>
      <c r="U85" t="s">
        <v>24</v>
      </c>
      <c r="V85" t="s">
        <v>24</v>
      </c>
    </row>
    <row r="86" spans="1:22" x14ac:dyDescent="0.25">
      <c r="A86" t="s">
        <v>358</v>
      </c>
      <c r="B86">
        <v>-6.8970000000000002</v>
      </c>
      <c r="C86">
        <v>125.048</v>
      </c>
      <c r="D86">
        <v>552.9</v>
      </c>
      <c r="E86">
        <v>4.5999999999999996</v>
      </c>
      <c r="F86" t="s">
        <v>23</v>
      </c>
      <c r="J86">
        <v>0.3</v>
      </c>
      <c r="K86" t="s">
        <v>24</v>
      </c>
      <c r="L86" t="s">
        <v>359</v>
      </c>
      <c r="M86" t="s">
        <v>360</v>
      </c>
      <c r="N86" t="s">
        <v>361</v>
      </c>
      <c r="O86" t="s">
        <v>28</v>
      </c>
      <c r="Q86">
        <v>5.0999999999999996</v>
      </c>
      <c r="S86">
        <v>6</v>
      </c>
      <c r="T86" t="s">
        <v>29</v>
      </c>
      <c r="U86" t="s">
        <v>24</v>
      </c>
      <c r="V86" t="s">
        <v>24</v>
      </c>
    </row>
    <row r="87" spans="1:22" x14ac:dyDescent="0.25">
      <c r="A87" t="s">
        <v>362</v>
      </c>
      <c r="B87">
        <v>-7.4610000000000003</v>
      </c>
      <c r="C87">
        <v>120.22199999999999</v>
      </c>
      <c r="D87">
        <v>391.9</v>
      </c>
      <c r="E87">
        <v>4.5</v>
      </c>
      <c r="F87" t="s">
        <v>23</v>
      </c>
      <c r="J87">
        <v>1.3</v>
      </c>
      <c r="K87" t="s">
        <v>24</v>
      </c>
      <c r="L87" t="s">
        <v>363</v>
      </c>
      <c r="M87" t="s">
        <v>364</v>
      </c>
      <c r="N87" t="s">
        <v>365</v>
      </c>
      <c r="O87" t="s">
        <v>28</v>
      </c>
      <c r="Q87">
        <v>10.8</v>
      </c>
      <c r="S87">
        <v>3</v>
      </c>
      <c r="T87" t="s">
        <v>29</v>
      </c>
      <c r="U87" t="s">
        <v>24</v>
      </c>
      <c r="V87" t="s">
        <v>24</v>
      </c>
    </row>
    <row r="88" spans="1:22" x14ac:dyDescent="0.25">
      <c r="A88" t="s">
        <v>366</v>
      </c>
      <c r="B88">
        <v>-7.23</v>
      </c>
      <c r="C88">
        <v>120.327</v>
      </c>
      <c r="D88">
        <v>563.20000000000005</v>
      </c>
      <c r="E88">
        <v>5.0999999999999996</v>
      </c>
      <c r="F88" t="s">
        <v>23</v>
      </c>
      <c r="J88">
        <v>1</v>
      </c>
      <c r="K88" t="s">
        <v>24</v>
      </c>
      <c r="L88" t="s">
        <v>367</v>
      </c>
      <c r="M88" t="s">
        <v>368</v>
      </c>
      <c r="N88" t="s">
        <v>312</v>
      </c>
      <c r="O88" t="s">
        <v>28</v>
      </c>
      <c r="Q88">
        <v>9.3000000000000007</v>
      </c>
      <c r="S88">
        <v>18</v>
      </c>
      <c r="T88" t="s">
        <v>29</v>
      </c>
      <c r="U88" t="s">
        <v>24</v>
      </c>
      <c r="V88" t="s">
        <v>24</v>
      </c>
    </row>
    <row r="89" spans="1:22" x14ac:dyDescent="0.25">
      <c r="A89" t="s">
        <v>369</v>
      </c>
      <c r="B89">
        <v>-7.28</v>
      </c>
      <c r="C89">
        <v>120.307</v>
      </c>
      <c r="D89">
        <v>573.9</v>
      </c>
      <c r="E89">
        <v>4.9000000000000004</v>
      </c>
      <c r="F89" t="s">
        <v>23</v>
      </c>
      <c r="J89">
        <v>1</v>
      </c>
      <c r="K89" t="s">
        <v>24</v>
      </c>
      <c r="L89" t="s">
        <v>370</v>
      </c>
      <c r="M89" t="s">
        <v>371</v>
      </c>
      <c r="N89" t="s">
        <v>372</v>
      </c>
      <c r="O89" t="s">
        <v>28</v>
      </c>
      <c r="Q89">
        <v>13.6</v>
      </c>
      <c r="S89">
        <v>13</v>
      </c>
      <c r="T89" t="s">
        <v>29</v>
      </c>
      <c r="U89" t="s">
        <v>24</v>
      </c>
      <c r="V89" t="s">
        <v>24</v>
      </c>
    </row>
    <row r="90" spans="1:22" x14ac:dyDescent="0.25">
      <c r="A90" t="s">
        <v>373</v>
      </c>
      <c r="B90">
        <v>-7.0250000000000004</v>
      </c>
      <c r="C90">
        <v>125.114</v>
      </c>
      <c r="D90">
        <v>553.5</v>
      </c>
      <c r="E90">
        <v>5.4</v>
      </c>
      <c r="F90" t="s">
        <v>318</v>
      </c>
      <c r="J90">
        <v>1.1000000000000001</v>
      </c>
      <c r="K90" t="s">
        <v>24</v>
      </c>
      <c r="L90" t="s">
        <v>374</v>
      </c>
      <c r="M90" t="s">
        <v>375</v>
      </c>
      <c r="N90" t="s">
        <v>376</v>
      </c>
      <c r="O90" t="s">
        <v>28</v>
      </c>
      <c r="Q90">
        <v>5.0999999999999996</v>
      </c>
      <c r="T90" t="s">
        <v>29</v>
      </c>
      <c r="U90" t="s">
        <v>24</v>
      </c>
      <c r="V90" t="s">
        <v>322</v>
      </c>
    </row>
    <row r="91" spans="1:22" x14ac:dyDescent="0.25">
      <c r="A91" t="s">
        <v>377</v>
      </c>
      <c r="B91">
        <v>-7.4329999999999998</v>
      </c>
      <c r="C91">
        <v>124.47499999999999</v>
      </c>
      <c r="D91">
        <v>467.9</v>
      </c>
      <c r="E91">
        <v>5.3</v>
      </c>
      <c r="F91" t="s">
        <v>318</v>
      </c>
      <c r="J91">
        <v>1.1000000000000001</v>
      </c>
      <c r="K91" t="s">
        <v>24</v>
      </c>
      <c r="L91" t="s">
        <v>378</v>
      </c>
      <c r="M91" t="s">
        <v>379</v>
      </c>
      <c r="N91" t="s">
        <v>380</v>
      </c>
      <c r="O91" t="s">
        <v>28</v>
      </c>
      <c r="Q91">
        <v>6.7</v>
      </c>
      <c r="T91" t="s">
        <v>29</v>
      </c>
      <c r="U91" t="s">
        <v>24</v>
      </c>
      <c r="V91" t="s">
        <v>322</v>
      </c>
    </row>
    <row r="92" spans="1:22" x14ac:dyDescent="0.25">
      <c r="A92" t="s">
        <v>381</v>
      </c>
      <c r="B92">
        <v>-7.1559999999999997</v>
      </c>
      <c r="C92">
        <v>123.224</v>
      </c>
      <c r="D92">
        <v>600</v>
      </c>
      <c r="E92">
        <v>4.7</v>
      </c>
      <c r="F92" t="s">
        <v>23</v>
      </c>
      <c r="J92">
        <v>0.8</v>
      </c>
      <c r="K92" t="s">
        <v>24</v>
      </c>
      <c r="L92" t="s">
        <v>382</v>
      </c>
      <c r="M92" t="s">
        <v>383</v>
      </c>
      <c r="N92" t="s">
        <v>384</v>
      </c>
      <c r="O92" t="s">
        <v>28</v>
      </c>
      <c r="Q92">
        <v>25.1</v>
      </c>
      <c r="S92">
        <v>6</v>
      </c>
      <c r="T92" t="s">
        <v>29</v>
      </c>
      <c r="U92" t="s">
        <v>24</v>
      </c>
      <c r="V92" t="s">
        <v>24</v>
      </c>
    </row>
    <row r="93" spans="1:22" x14ac:dyDescent="0.25">
      <c r="A93" t="s">
        <v>385</v>
      </c>
      <c r="B93">
        <v>-7.2569999999999997</v>
      </c>
      <c r="C93">
        <v>124.328</v>
      </c>
      <c r="D93">
        <v>562.9</v>
      </c>
      <c r="E93">
        <v>4.9000000000000004</v>
      </c>
      <c r="F93" t="s">
        <v>23</v>
      </c>
      <c r="J93">
        <v>1</v>
      </c>
      <c r="K93" t="s">
        <v>24</v>
      </c>
      <c r="L93" t="s">
        <v>386</v>
      </c>
      <c r="M93" t="s">
        <v>387</v>
      </c>
      <c r="N93" t="s">
        <v>388</v>
      </c>
      <c r="O93" t="s">
        <v>28</v>
      </c>
      <c r="Q93">
        <v>6.6</v>
      </c>
      <c r="S93">
        <v>6</v>
      </c>
      <c r="T93" t="s">
        <v>29</v>
      </c>
      <c r="U93" t="s">
        <v>24</v>
      </c>
      <c r="V93" t="s">
        <v>24</v>
      </c>
    </row>
    <row r="94" spans="1:22" x14ac:dyDescent="0.25">
      <c r="A94" t="s">
        <v>389</v>
      </c>
      <c r="B94">
        <v>-6.9409999999999998</v>
      </c>
      <c r="C94">
        <v>125.04</v>
      </c>
      <c r="D94">
        <v>519.9</v>
      </c>
      <c r="E94">
        <v>4.9000000000000004</v>
      </c>
      <c r="F94" t="s">
        <v>23</v>
      </c>
      <c r="J94">
        <v>0.7</v>
      </c>
      <c r="K94" t="s">
        <v>24</v>
      </c>
      <c r="L94" t="s">
        <v>390</v>
      </c>
      <c r="M94" t="s">
        <v>391</v>
      </c>
      <c r="N94" t="s">
        <v>392</v>
      </c>
      <c r="O94" t="s">
        <v>28</v>
      </c>
      <c r="Q94">
        <v>12.1</v>
      </c>
      <c r="S94">
        <v>6</v>
      </c>
      <c r="T94" t="s">
        <v>29</v>
      </c>
      <c r="U94" t="s">
        <v>24</v>
      </c>
      <c r="V94" t="s">
        <v>24</v>
      </c>
    </row>
    <row r="95" spans="1:22" x14ac:dyDescent="0.25">
      <c r="A95" t="s">
        <v>393</v>
      </c>
      <c r="B95">
        <v>-7.077</v>
      </c>
      <c r="C95">
        <v>124.28400000000001</v>
      </c>
      <c r="D95">
        <v>595.5</v>
      </c>
      <c r="E95">
        <v>6</v>
      </c>
      <c r="F95" t="s">
        <v>318</v>
      </c>
      <c r="J95">
        <v>1</v>
      </c>
      <c r="K95" t="s">
        <v>24</v>
      </c>
      <c r="L95" t="s">
        <v>394</v>
      </c>
      <c r="M95" t="s">
        <v>395</v>
      </c>
      <c r="N95" t="s">
        <v>396</v>
      </c>
      <c r="O95" t="s">
        <v>28</v>
      </c>
      <c r="T95" t="s">
        <v>29</v>
      </c>
      <c r="U95" t="s">
        <v>24</v>
      </c>
      <c r="V95" t="s">
        <v>322</v>
      </c>
    </row>
    <row r="96" spans="1:22" x14ac:dyDescent="0.25">
      <c r="A96" t="s">
        <v>397</v>
      </c>
      <c r="B96">
        <v>-7.33</v>
      </c>
      <c r="C96">
        <v>120.37</v>
      </c>
      <c r="D96">
        <v>399.7</v>
      </c>
      <c r="E96">
        <v>4.5</v>
      </c>
      <c r="F96" t="s">
        <v>23</v>
      </c>
      <c r="J96">
        <v>1</v>
      </c>
      <c r="K96" t="s">
        <v>24</v>
      </c>
      <c r="L96" t="s">
        <v>398</v>
      </c>
      <c r="M96" t="s">
        <v>399</v>
      </c>
      <c r="N96" t="s">
        <v>400</v>
      </c>
      <c r="O96" t="s">
        <v>28</v>
      </c>
      <c r="Q96">
        <v>9.1</v>
      </c>
      <c r="S96">
        <v>8</v>
      </c>
      <c r="T96" t="s">
        <v>29</v>
      </c>
      <c r="U96" t="s">
        <v>24</v>
      </c>
      <c r="V96" t="s">
        <v>24</v>
      </c>
    </row>
    <row r="97" spans="1:22" x14ac:dyDescent="0.25">
      <c r="A97" t="s">
        <v>401</v>
      </c>
      <c r="B97">
        <v>-6.2539999999999996</v>
      </c>
      <c r="C97">
        <v>120.108</v>
      </c>
      <c r="D97">
        <v>47.2</v>
      </c>
      <c r="E97">
        <v>5.3</v>
      </c>
      <c r="F97" t="s">
        <v>23</v>
      </c>
      <c r="J97">
        <v>1.2</v>
      </c>
      <c r="K97" t="s">
        <v>24</v>
      </c>
      <c r="L97" t="s">
        <v>402</v>
      </c>
      <c r="M97" t="s">
        <v>403</v>
      </c>
      <c r="N97" t="s">
        <v>404</v>
      </c>
      <c r="O97" t="s">
        <v>28</v>
      </c>
      <c r="Q97">
        <v>15.3</v>
      </c>
      <c r="S97">
        <v>3</v>
      </c>
      <c r="T97" t="s">
        <v>29</v>
      </c>
      <c r="U97" t="s">
        <v>24</v>
      </c>
      <c r="V97" t="s">
        <v>24</v>
      </c>
    </row>
    <row r="98" spans="1:22" x14ac:dyDescent="0.25">
      <c r="A98" t="s">
        <v>405</v>
      </c>
      <c r="B98">
        <v>-7.4550000000000001</v>
      </c>
      <c r="C98">
        <v>120.646</v>
      </c>
      <c r="D98">
        <v>613.9</v>
      </c>
      <c r="E98">
        <v>5.5</v>
      </c>
      <c r="F98" t="s">
        <v>318</v>
      </c>
      <c r="J98">
        <v>0.9</v>
      </c>
      <c r="K98" t="s">
        <v>24</v>
      </c>
      <c r="L98" t="s">
        <v>406</v>
      </c>
      <c r="M98" t="s">
        <v>407</v>
      </c>
      <c r="N98" t="s">
        <v>408</v>
      </c>
      <c r="O98" t="s">
        <v>28</v>
      </c>
      <c r="Q98">
        <v>2.8</v>
      </c>
      <c r="T98" t="s">
        <v>29</v>
      </c>
      <c r="U98" t="s">
        <v>24</v>
      </c>
      <c r="V98" t="s">
        <v>322</v>
      </c>
    </row>
    <row r="99" spans="1:22" x14ac:dyDescent="0.25">
      <c r="A99" t="s">
        <v>409</v>
      </c>
      <c r="B99">
        <v>-7.3559999999999999</v>
      </c>
      <c r="C99">
        <v>120.19</v>
      </c>
      <c r="D99">
        <v>412</v>
      </c>
      <c r="E99">
        <v>5.2</v>
      </c>
      <c r="F99" t="s">
        <v>23</v>
      </c>
      <c r="J99">
        <v>1.1000000000000001</v>
      </c>
      <c r="K99" t="s">
        <v>24</v>
      </c>
      <c r="L99" t="s">
        <v>410</v>
      </c>
      <c r="M99" t="s">
        <v>411</v>
      </c>
      <c r="N99" t="s">
        <v>412</v>
      </c>
      <c r="O99" t="s">
        <v>28</v>
      </c>
      <c r="Q99">
        <v>7</v>
      </c>
      <c r="S99">
        <v>29</v>
      </c>
      <c r="T99" t="s">
        <v>29</v>
      </c>
      <c r="U99" t="s">
        <v>24</v>
      </c>
      <c r="V99" t="s">
        <v>24</v>
      </c>
    </row>
    <row r="100" spans="1:22" x14ac:dyDescent="0.25">
      <c r="A100" t="s">
        <v>413</v>
      </c>
      <c r="B100">
        <v>-7.0720000000000001</v>
      </c>
      <c r="C100">
        <v>124.152</v>
      </c>
      <c r="D100">
        <v>627.9</v>
      </c>
      <c r="E100">
        <v>6</v>
      </c>
      <c r="F100" t="s">
        <v>318</v>
      </c>
      <c r="J100">
        <v>1.3</v>
      </c>
      <c r="K100" t="s">
        <v>24</v>
      </c>
      <c r="L100" t="s">
        <v>414</v>
      </c>
      <c r="M100" t="s">
        <v>415</v>
      </c>
      <c r="N100" t="s">
        <v>416</v>
      </c>
      <c r="O100" t="s">
        <v>28</v>
      </c>
      <c r="Q100">
        <v>2.8</v>
      </c>
      <c r="T100" t="s">
        <v>29</v>
      </c>
      <c r="U100" t="s">
        <v>24</v>
      </c>
      <c r="V100" t="s">
        <v>322</v>
      </c>
    </row>
    <row r="101" spans="1:22" x14ac:dyDescent="0.25">
      <c r="A101" t="s">
        <v>417</v>
      </c>
      <c r="B101">
        <v>-6.1310000000000002</v>
      </c>
      <c r="C101">
        <v>122.745</v>
      </c>
      <c r="D101">
        <v>52.5</v>
      </c>
      <c r="E101">
        <v>5.3</v>
      </c>
      <c r="F101" t="s">
        <v>23</v>
      </c>
      <c r="J101">
        <v>1.3</v>
      </c>
      <c r="K101" t="s">
        <v>24</v>
      </c>
      <c r="L101" t="s">
        <v>418</v>
      </c>
      <c r="M101" t="s">
        <v>419</v>
      </c>
      <c r="N101" t="s">
        <v>420</v>
      </c>
      <c r="O101" t="s">
        <v>28</v>
      </c>
      <c r="Q101">
        <v>10.8</v>
      </c>
      <c r="S101">
        <v>12</v>
      </c>
      <c r="T101" t="s">
        <v>29</v>
      </c>
      <c r="U101" t="s">
        <v>24</v>
      </c>
      <c r="V101" t="s">
        <v>24</v>
      </c>
    </row>
    <row r="102" spans="1:22" x14ac:dyDescent="0.25">
      <c r="A102" t="s">
        <v>421</v>
      </c>
      <c r="B102">
        <v>-6.3529999999999998</v>
      </c>
      <c r="C102">
        <v>122.825</v>
      </c>
      <c r="D102">
        <v>33</v>
      </c>
      <c r="E102">
        <v>4.5999999999999996</v>
      </c>
      <c r="F102" t="s">
        <v>23</v>
      </c>
      <c r="J102">
        <v>0.8</v>
      </c>
      <c r="K102" t="s">
        <v>24</v>
      </c>
      <c r="L102" t="s">
        <v>422</v>
      </c>
      <c r="M102" t="s">
        <v>423</v>
      </c>
      <c r="N102" t="s">
        <v>424</v>
      </c>
      <c r="O102" t="s">
        <v>28</v>
      </c>
      <c r="S102">
        <v>3</v>
      </c>
      <c r="T102" t="s">
        <v>29</v>
      </c>
      <c r="U102" t="s">
        <v>24</v>
      </c>
      <c r="V102" t="s">
        <v>24</v>
      </c>
    </row>
    <row r="103" spans="1:22" x14ac:dyDescent="0.25">
      <c r="A103" t="s">
        <v>425</v>
      </c>
      <c r="B103">
        <v>-7.2309999999999999</v>
      </c>
      <c r="C103">
        <v>122.78100000000001</v>
      </c>
      <c r="D103">
        <v>611.9</v>
      </c>
      <c r="E103">
        <v>4.5999999999999996</v>
      </c>
      <c r="F103" t="s">
        <v>23</v>
      </c>
      <c r="J103">
        <v>0.4</v>
      </c>
      <c r="K103" t="s">
        <v>24</v>
      </c>
      <c r="L103" t="s">
        <v>426</v>
      </c>
      <c r="M103" t="s">
        <v>427</v>
      </c>
      <c r="N103" t="s">
        <v>428</v>
      </c>
      <c r="O103" t="s">
        <v>28</v>
      </c>
      <c r="Q103">
        <v>21.4</v>
      </c>
      <c r="S103">
        <v>4</v>
      </c>
      <c r="T103" t="s">
        <v>29</v>
      </c>
      <c r="U103" t="s">
        <v>24</v>
      </c>
      <c r="V103" t="s">
        <v>24</v>
      </c>
    </row>
    <row r="104" spans="1:22" x14ac:dyDescent="0.25">
      <c r="A104" t="s">
        <v>429</v>
      </c>
      <c r="B104">
        <v>-6.1369999999999996</v>
      </c>
      <c r="C104">
        <v>123.04600000000001</v>
      </c>
      <c r="D104">
        <v>33</v>
      </c>
      <c r="E104">
        <v>4.8</v>
      </c>
      <c r="F104" t="s">
        <v>23</v>
      </c>
      <c r="J104">
        <v>1.3</v>
      </c>
      <c r="K104" t="s">
        <v>24</v>
      </c>
      <c r="L104" t="s">
        <v>430</v>
      </c>
      <c r="M104" t="s">
        <v>431</v>
      </c>
      <c r="N104" t="s">
        <v>432</v>
      </c>
      <c r="O104" t="s">
        <v>28</v>
      </c>
      <c r="S104">
        <v>5</v>
      </c>
      <c r="T104" t="s">
        <v>29</v>
      </c>
      <c r="U104" t="s">
        <v>24</v>
      </c>
      <c r="V104" t="s">
        <v>24</v>
      </c>
    </row>
    <row r="105" spans="1:22" x14ac:dyDescent="0.25">
      <c r="A105" t="s">
        <v>433</v>
      </c>
      <c r="B105">
        <v>-6.1449999999999996</v>
      </c>
      <c r="C105">
        <v>122.98399999999999</v>
      </c>
      <c r="D105">
        <v>33</v>
      </c>
      <c r="E105">
        <v>4.5</v>
      </c>
      <c r="F105" t="s">
        <v>23</v>
      </c>
      <c r="J105">
        <v>1.2</v>
      </c>
      <c r="K105" t="s">
        <v>24</v>
      </c>
      <c r="L105" t="s">
        <v>434</v>
      </c>
      <c r="M105" t="s">
        <v>435</v>
      </c>
      <c r="N105" t="s">
        <v>436</v>
      </c>
      <c r="O105" t="s">
        <v>28</v>
      </c>
      <c r="S105">
        <v>4</v>
      </c>
      <c r="T105" t="s">
        <v>29</v>
      </c>
      <c r="U105" t="s">
        <v>24</v>
      </c>
      <c r="V105" t="s">
        <v>24</v>
      </c>
    </row>
    <row r="106" spans="1:22" x14ac:dyDescent="0.25">
      <c r="A106" t="s">
        <v>437</v>
      </c>
      <c r="B106">
        <v>-7.0940000000000003</v>
      </c>
      <c r="C106">
        <v>120.173</v>
      </c>
      <c r="D106">
        <v>423.8</v>
      </c>
      <c r="E106">
        <v>4.9000000000000004</v>
      </c>
      <c r="F106" t="s">
        <v>23</v>
      </c>
      <c r="J106">
        <v>0.7</v>
      </c>
      <c r="K106" t="s">
        <v>24</v>
      </c>
      <c r="L106" t="s">
        <v>438</v>
      </c>
      <c r="M106" t="s">
        <v>439</v>
      </c>
      <c r="N106" t="s">
        <v>440</v>
      </c>
      <c r="O106" t="s">
        <v>28</v>
      </c>
      <c r="Q106">
        <v>20.9</v>
      </c>
      <c r="S106">
        <v>1</v>
      </c>
      <c r="T106" t="s">
        <v>29</v>
      </c>
      <c r="U106" t="s">
        <v>24</v>
      </c>
      <c r="V106" t="s">
        <v>24</v>
      </c>
    </row>
    <row r="107" spans="1:22" x14ac:dyDescent="0.25">
      <c r="A107" t="s">
        <v>441</v>
      </c>
      <c r="B107">
        <v>-6.9509999999999996</v>
      </c>
      <c r="C107">
        <v>123.79600000000001</v>
      </c>
      <c r="D107">
        <v>641.29999999999995</v>
      </c>
      <c r="E107">
        <v>5.4</v>
      </c>
      <c r="F107" t="s">
        <v>23</v>
      </c>
      <c r="J107">
        <v>1</v>
      </c>
      <c r="K107" t="s">
        <v>24</v>
      </c>
      <c r="L107" t="s">
        <v>442</v>
      </c>
      <c r="M107" t="s">
        <v>443</v>
      </c>
      <c r="N107" t="s">
        <v>444</v>
      </c>
      <c r="O107" t="s">
        <v>28</v>
      </c>
      <c r="Q107">
        <v>5.6</v>
      </c>
      <c r="S107">
        <v>15</v>
      </c>
      <c r="T107" t="s">
        <v>29</v>
      </c>
      <c r="U107" t="s">
        <v>24</v>
      </c>
      <c r="V107" t="s">
        <v>24</v>
      </c>
    </row>
    <row r="108" spans="1:22" x14ac:dyDescent="0.25">
      <c r="A108" t="s">
        <v>445</v>
      </c>
      <c r="B108">
        <v>-7.2519999999999998</v>
      </c>
      <c r="C108">
        <v>122.408</v>
      </c>
      <c r="D108">
        <v>573.70000000000005</v>
      </c>
      <c r="E108">
        <v>4.9000000000000004</v>
      </c>
      <c r="F108" t="s">
        <v>23</v>
      </c>
      <c r="J108">
        <v>0.9</v>
      </c>
      <c r="K108" t="s">
        <v>24</v>
      </c>
      <c r="L108" t="s">
        <v>446</v>
      </c>
      <c r="M108" t="s">
        <v>447</v>
      </c>
      <c r="N108" t="s">
        <v>448</v>
      </c>
      <c r="O108" t="s">
        <v>28</v>
      </c>
      <c r="Q108">
        <v>12.5</v>
      </c>
      <c r="S108">
        <v>4</v>
      </c>
      <c r="T108" t="s">
        <v>29</v>
      </c>
      <c r="U108" t="s">
        <v>24</v>
      </c>
      <c r="V108" t="s">
        <v>24</v>
      </c>
    </row>
    <row r="109" spans="1:22" x14ac:dyDescent="0.25">
      <c r="A109" t="s">
        <v>449</v>
      </c>
      <c r="B109">
        <v>-6.8540000000000001</v>
      </c>
      <c r="C109">
        <v>123.32899999999999</v>
      </c>
      <c r="D109">
        <v>632.4</v>
      </c>
      <c r="E109">
        <v>5.2</v>
      </c>
      <c r="F109" t="s">
        <v>23</v>
      </c>
      <c r="J109">
        <v>1.2</v>
      </c>
      <c r="K109" t="s">
        <v>24</v>
      </c>
      <c r="L109" t="s">
        <v>450</v>
      </c>
      <c r="M109" t="s">
        <v>451</v>
      </c>
      <c r="N109" t="s">
        <v>452</v>
      </c>
      <c r="O109" t="s">
        <v>28</v>
      </c>
      <c r="Q109">
        <v>12.3</v>
      </c>
      <c r="S109">
        <v>6</v>
      </c>
      <c r="T109" t="s">
        <v>29</v>
      </c>
      <c r="U109" t="s">
        <v>24</v>
      </c>
      <c r="V109" t="s">
        <v>24</v>
      </c>
    </row>
    <row r="110" spans="1:22" x14ac:dyDescent="0.25">
      <c r="A110" t="s">
        <v>453</v>
      </c>
      <c r="B110">
        <v>-7.1509999999999998</v>
      </c>
      <c r="C110">
        <v>122.751</v>
      </c>
      <c r="D110">
        <v>571.70000000000005</v>
      </c>
      <c r="E110">
        <v>4.5999999999999996</v>
      </c>
      <c r="F110" t="s">
        <v>23</v>
      </c>
      <c r="J110">
        <v>0.6</v>
      </c>
      <c r="K110" t="s">
        <v>24</v>
      </c>
      <c r="L110" t="s">
        <v>454</v>
      </c>
      <c r="M110" t="s">
        <v>455</v>
      </c>
      <c r="N110" t="s">
        <v>456</v>
      </c>
      <c r="O110" t="s">
        <v>28</v>
      </c>
      <c r="Q110">
        <v>56.1</v>
      </c>
      <c r="S110">
        <v>3</v>
      </c>
      <c r="T110" t="s">
        <v>29</v>
      </c>
      <c r="U110" t="s">
        <v>24</v>
      </c>
      <c r="V110" t="s">
        <v>24</v>
      </c>
    </row>
    <row r="111" spans="1:22" x14ac:dyDescent="0.25">
      <c r="A111" t="s">
        <v>457</v>
      </c>
      <c r="B111">
        <v>-7.032</v>
      </c>
      <c r="C111">
        <v>125.196</v>
      </c>
      <c r="D111">
        <v>527.29999999999995</v>
      </c>
      <c r="E111">
        <v>4.7</v>
      </c>
      <c r="F111" t="s">
        <v>23</v>
      </c>
      <c r="J111">
        <v>1.4</v>
      </c>
      <c r="K111" t="s">
        <v>24</v>
      </c>
      <c r="L111" t="s">
        <v>458</v>
      </c>
      <c r="M111" t="s">
        <v>459</v>
      </c>
      <c r="N111" t="s">
        <v>460</v>
      </c>
      <c r="O111" t="s">
        <v>28</v>
      </c>
      <c r="Q111">
        <v>16.8</v>
      </c>
      <c r="S111">
        <v>2</v>
      </c>
      <c r="T111" t="s">
        <v>29</v>
      </c>
      <c r="U111" t="s">
        <v>24</v>
      </c>
      <c r="V111" t="s">
        <v>24</v>
      </c>
    </row>
    <row r="112" spans="1:22" x14ac:dyDescent="0.25">
      <c r="A112" t="s">
        <v>461</v>
      </c>
      <c r="B112">
        <v>-5.0380000000000003</v>
      </c>
      <c r="C112">
        <v>125.178</v>
      </c>
      <c r="D112">
        <v>566.70000000000005</v>
      </c>
      <c r="E112">
        <v>5</v>
      </c>
      <c r="F112" t="s">
        <v>23</v>
      </c>
      <c r="J112">
        <v>0.6</v>
      </c>
      <c r="K112" t="s">
        <v>24</v>
      </c>
      <c r="L112" t="s">
        <v>462</v>
      </c>
      <c r="M112" t="s">
        <v>463</v>
      </c>
      <c r="N112" t="s">
        <v>353</v>
      </c>
      <c r="O112" t="s">
        <v>28</v>
      </c>
      <c r="Q112">
        <v>13.4</v>
      </c>
      <c r="S112">
        <v>3</v>
      </c>
      <c r="T112" t="s">
        <v>29</v>
      </c>
      <c r="U112" t="s">
        <v>24</v>
      </c>
      <c r="V112" t="s">
        <v>24</v>
      </c>
    </row>
    <row r="113" spans="1:22" x14ac:dyDescent="0.25">
      <c r="A113" t="s">
        <v>464</v>
      </c>
      <c r="B113">
        <v>-5.9260000000000002</v>
      </c>
      <c r="C113">
        <v>122.82599999999999</v>
      </c>
      <c r="D113">
        <v>33</v>
      </c>
      <c r="E113">
        <v>4.5</v>
      </c>
      <c r="F113" t="s">
        <v>23</v>
      </c>
      <c r="J113">
        <v>1.3</v>
      </c>
      <c r="K113" t="s">
        <v>24</v>
      </c>
      <c r="L113" t="s">
        <v>465</v>
      </c>
      <c r="M113" t="s">
        <v>466</v>
      </c>
      <c r="N113" t="s">
        <v>467</v>
      </c>
      <c r="O113" t="s">
        <v>28</v>
      </c>
      <c r="S113">
        <v>2</v>
      </c>
      <c r="T113" t="s">
        <v>29</v>
      </c>
      <c r="U113" t="s">
        <v>24</v>
      </c>
      <c r="V113" t="s">
        <v>24</v>
      </c>
    </row>
    <row r="114" spans="1:22" x14ac:dyDescent="0.25">
      <c r="A114" t="s">
        <v>468</v>
      </c>
      <c r="B114">
        <v>-6.8719999999999999</v>
      </c>
      <c r="C114">
        <v>124.774</v>
      </c>
      <c r="D114">
        <v>563.29999999999995</v>
      </c>
      <c r="E114">
        <v>4.9000000000000004</v>
      </c>
      <c r="F114" t="s">
        <v>23</v>
      </c>
      <c r="J114">
        <v>0.8</v>
      </c>
      <c r="K114" t="s">
        <v>24</v>
      </c>
      <c r="L114" t="s">
        <v>469</v>
      </c>
      <c r="M114" t="s">
        <v>470</v>
      </c>
      <c r="N114" t="s">
        <v>471</v>
      </c>
      <c r="O114" t="s">
        <v>28</v>
      </c>
      <c r="Q114">
        <v>7.9</v>
      </c>
      <c r="S114">
        <v>6</v>
      </c>
      <c r="T114" t="s">
        <v>29</v>
      </c>
      <c r="U114" t="s">
        <v>24</v>
      </c>
      <c r="V114" t="s">
        <v>24</v>
      </c>
    </row>
    <row r="115" spans="1:22" x14ac:dyDescent="0.25">
      <c r="A115" t="s">
        <v>472</v>
      </c>
      <c r="B115">
        <v>-7.3419999999999996</v>
      </c>
      <c r="C115">
        <v>120.01900000000001</v>
      </c>
      <c r="D115">
        <v>625.79999999999995</v>
      </c>
      <c r="E115">
        <v>5.2</v>
      </c>
      <c r="F115" t="s">
        <v>23</v>
      </c>
      <c r="J115">
        <v>1</v>
      </c>
      <c r="K115" t="s">
        <v>24</v>
      </c>
      <c r="L115" t="s">
        <v>473</v>
      </c>
      <c r="M115" t="s">
        <v>474</v>
      </c>
      <c r="N115" t="s">
        <v>475</v>
      </c>
      <c r="O115" t="s">
        <v>28</v>
      </c>
      <c r="Q115">
        <v>7</v>
      </c>
      <c r="S115">
        <v>26</v>
      </c>
      <c r="T115" t="s">
        <v>29</v>
      </c>
      <c r="U115" t="s">
        <v>24</v>
      </c>
      <c r="V115" t="s">
        <v>24</v>
      </c>
    </row>
    <row r="116" spans="1:22" x14ac:dyDescent="0.25">
      <c r="A116" t="s">
        <v>476</v>
      </c>
      <c r="B116">
        <v>-7.1630000000000003</v>
      </c>
      <c r="C116">
        <v>124.629</v>
      </c>
      <c r="D116">
        <v>516.6</v>
      </c>
      <c r="E116">
        <v>5</v>
      </c>
      <c r="F116" t="s">
        <v>23</v>
      </c>
      <c r="J116">
        <v>1</v>
      </c>
      <c r="K116" t="s">
        <v>24</v>
      </c>
      <c r="L116" t="s">
        <v>477</v>
      </c>
      <c r="M116" t="s">
        <v>478</v>
      </c>
      <c r="N116" t="s">
        <v>479</v>
      </c>
      <c r="O116" t="s">
        <v>28</v>
      </c>
      <c r="Q116">
        <v>17.2</v>
      </c>
      <c r="S116">
        <v>8</v>
      </c>
      <c r="T116" t="s">
        <v>29</v>
      </c>
      <c r="U116" t="s">
        <v>24</v>
      </c>
      <c r="V116" t="s">
        <v>24</v>
      </c>
    </row>
    <row r="117" spans="1:22" x14ac:dyDescent="0.25">
      <c r="A117" t="s">
        <v>480</v>
      </c>
      <c r="B117">
        <v>-7.2279999999999998</v>
      </c>
      <c r="C117">
        <v>120.256</v>
      </c>
      <c r="D117">
        <v>479</v>
      </c>
      <c r="E117">
        <v>4.5</v>
      </c>
      <c r="F117" t="s">
        <v>23</v>
      </c>
      <c r="J117">
        <v>1.2</v>
      </c>
      <c r="K117" t="s">
        <v>24</v>
      </c>
      <c r="L117" t="s">
        <v>481</v>
      </c>
      <c r="M117" t="s">
        <v>482</v>
      </c>
      <c r="N117" t="s">
        <v>483</v>
      </c>
      <c r="O117" t="s">
        <v>28</v>
      </c>
      <c r="Q117">
        <v>11.1</v>
      </c>
      <c r="S117">
        <v>3</v>
      </c>
      <c r="T117" t="s">
        <v>29</v>
      </c>
      <c r="U117" t="s">
        <v>24</v>
      </c>
      <c r="V117" t="s">
        <v>24</v>
      </c>
    </row>
    <row r="118" spans="1:22" x14ac:dyDescent="0.25">
      <c r="A118" t="s">
        <v>484</v>
      </c>
      <c r="B118">
        <v>-7.4180000000000001</v>
      </c>
      <c r="C118">
        <v>119.959</v>
      </c>
      <c r="D118">
        <v>401.2</v>
      </c>
      <c r="E118">
        <v>4.5</v>
      </c>
      <c r="F118" t="s">
        <v>23</v>
      </c>
      <c r="J118">
        <v>1</v>
      </c>
      <c r="K118" t="s">
        <v>24</v>
      </c>
      <c r="L118" t="s">
        <v>485</v>
      </c>
      <c r="M118" t="s">
        <v>486</v>
      </c>
      <c r="N118" t="s">
        <v>487</v>
      </c>
      <c r="O118" t="s">
        <v>28</v>
      </c>
      <c r="Q118">
        <v>7.6</v>
      </c>
      <c r="S118">
        <v>4</v>
      </c>
      <c r="T118" t="s">
        <v>29</v>
      </c>
      <c r="U118" t="s">
        <v>24</v>
      </c>
      <c r="V118" t="s">
        <v>24</v>
      </c>
    </row>
    <row r="119" spans="1:22" x14ac:dyDescent="0.25">
      <c r="A119" t="s">
        <v>488</v>
      </c>
      <c r="B119">
        <v>-4.8739999999999997</v>
      </c>
      <c r="C119">
        <v>123.53700000000001</v>
      </c>
      <c r="D119">
        <v>33</v>
      </c>
      <c r="E119">
        <v>5.0999999999999996</v>
      </c>
      <c r="F119" t="s">
        <v>23</v>
      </c>
      <c r="J119">
        <v>0.7</v>
      </c>
      <c r="K119" t="s">
        <v>24</v>
      </c>
      <c r="L119" t="s">
        <v>489</v>
      </c>
      <c r="M119" t="s">
        <v>490</v>
      </c>
      <c r="N119" t="s">
        <v>491</v>
      </c>
      <c r="O119" t="s">
        <v>28</v>
      </c>
      <c r="S119">
        <v>3</v>
      </c>
      <c r="T119" t="s">
        <v>29</v>
      </c>
      <c r="U119" t="s">
        <v>24</v>
      </c>
      <c r="V119" t="s">
        <v>24</v>
      </c>
    </row>
    <row r="120" spans="1:22" x14ac:dyDescent="0.25">
      <c r="A120" t="s">
        <v>492</v>
      </c>
      <c r="B120">
        <v>-7.1539999999999999</v>
      </c>
      <c r="C120">
        <v>120.751</v>
      </c>
      <c r="D120">
        <v>485.2</v>
      </c>
      <c r="E120">
        <v>5.2</v>
      </c>
      <c r="F120" t="s">
        <v>318</v>
      </c>
      <c r="J120">
        <v>0.9</v>
      </c>
      <c r="K120" t="s">
        <v>24</v>
      </c>
      <c r="L120" t="s">
        <v>493</v>
      </c>
      <c r="M120" t="s">
        <v>494</v>
      </c>
      <c r="N120" t="s">
        <v>495</v>
      </c>
      <c r="O120" t="s">
        <v>28</v>
      </c>
      <c r="Q120">
        <v>4.5999999999999996</v>
      </c>
      <c r="T120" t="s">
        <v>29</v>
      </c>
      <c r="U120" t="s">
        <v>24</v>
      </c>
      <c r="V120" t="s">
        <v>322</v>
      </c>
    </row>
    <row r="121" spans="1:22" x14ac:dyDescent="0.25">
      <c r="A121" t="s">
        <v>496</v>
      </c>
      <c r="B121">
        <v>-6.85</v>
      </c>
      <c r="C121">
        <v>125.161</v>
      </c>
      <c r="D121">
        <v>542.5</v>
      </c>
      <c r="E121">
        <v>4.5</v>
      </c>
      <c r="F121" t="s">
        <v>23</v>
      </c>
      <c r="J121">
        <v>1.1000000000000001</v>
      </c>
      <c r="K121" t="s">
        <v>24</v>
      </c>
      <c r="L121" t="s">
        <v>497</v>
      </c>
      <c r="M121" t="s">
        <v>498</v>
      </c>
      <c r="N121" t="s">
        <v>499</v>
      </c>
      <c r="O121" t="s">
        <v>28</v>
      </c>
      <c r="Q121">
        <v>15.5</v>
      </c>
      <c r="S121">
        <v>5</v>
      </c>
      <c r="T121" t="s">
        <v>29</v>
      </c>
      <c r="U121" t="s">
        <v>24</v>
      </c>
      <c r="V121" t="s">
        <v>24</v>
      </c>
    </row>
    <row r="122" spans="1:22" x14ac:dyDescent="0.25">
      <c r="A122" t="s">
        <v>500</v>
      </c>
      <c r="B122">
        <v>-7.1230000000000002</v>
      </c>
      <c r="C122">
        <v>123.29</v>
      </c>
      <c r="D122">
        <v>603.6</v>
      </c>
      <c r="E122">
        <v>5.5</v>
      </c>
      <c r="F122" t="s">
        <v>318</v>
      </c>
      <c r="J122">
        <v>0.9</v>
      </c>
      <c r="K122" t="s">
        <v>24</v>
      </c>
      <c r="L122" t="s">
        <v>501</v>
      </c>
      <c r="M122" t="s">
        <v>502</v>
      </c>
      <c r="N122" t="s">
        <v>503</v>
      </c>
      <c r="O122" t="s">
        <v>28</v>
      </c>
      <c r="Q122">
        <v>2.7</v>
      </c>
      <c r="T122" t="s">
        <v>29</v>
      </c>
      <c r="U122" t="s">
        <v>24</v>
      </c>
      <c r="V122" t="s">
        <v>322</v>
      </c>
    </row>
    <row r="123" spans="1:22" x14ac:dyDescent="0.25">
      <c r="A123" t="s">
        <v>504</v>
      </c>
      <c r="B123">
        <v>-7.3929999999999998</v>
      </c>
      <c r="C123">
        <v>119.98699999999999</v>
      </c>
      <c r="D123">
        <v>629.9</v>
      </c>
      <c r="E123">
        <v>4.8</v>
      </c>
      <c r="F123" t="s">
        <v>23</v>
      </c>
      <c r="J123">
        <v>1</v>
      </c>
      <c r="K123" t="s">
        <v>24</v>
      </c>
      <c r="L123" t="s">
        <v>505</v>
      </c>
      <c r="M123" t="s">
        <v>506</v>
      </c>
      <c r="N123" t="s">
        <v>507</v>
      </c>
      <c r="O123" t="s">
        <v>28</v>
      </c>
      <c r="Q123">
        <v>9</v>
      </c>
      <c r="S123">
        <v>11</v>
      </c>
      <c r="T123" t="s">
        <v>29</v>
      </c>
      <c r="U123" t="s">
        <v>24</v>
      </c>
      <c r="V123" t="s">
        <v>24</v>
      </c>
    </row>
    <row r="124" spans="1:22" x14ac:dyDescent="0.25">
      <c r="A124" t="s">
        <v>508</v>
      </c>
      <c r="B124">
        <v>-7.2329999999999997</v>
      </c>
      <c r="C124">
        <v>125.28700000000001</v>
      </c>
      <c r="D124">
        <v>524.6</v>
      </c>
      <c r="E124">
        <v>4.9000000000000004</v>
      </c>
      <c r="F124" t="s">
        <v>23</v>
      </c>
      <c r="J124">
        <v>0.9</v>
      </c>
      <c r="K124" t="s">
        <v>24</v>
      </c>
      <c r="L124" t="s">
        <v>509</v>
      </c>
      <c r="M124" t="s">
        <v>510</v>
      </c>
      <c r="N124" t="s">
        <v>511</v>
      </c>
      <c r="O124" t="s">
        <v>28</v>
      </c>
      <c r="Q124">
        <v>9.9</v>
      </c>
      <c r="S124">
        <v>6</v>
      </c>
      <c r="T124" t="s">
        <v>29</v>
      </c>
      <c r="U124" t="s">
        <v>24</v>
      </c>
      <c r="V124" t="s">
        <v>24</v>
      </c>
    </row>
    <row r="125" spans="1:22" x14ac:dyDescent="0.25">
      <c r="A125" t="s">
        <v>512</v>
      </c>
      <c r="B125">
        <v>-7.0659999999999998</v>
      </c>
      <c r="C125">
        <v>123.218</v>
      </c>
      <c r="D125">
        <v>649.79999999999995</v>
      </c>
      <c r="E125">
        <v>5.2</v>
      </c>
      <c r="F125" t="s">
        <v>318</v>
      </c>
      <c r="J125">
        <v>0.9</v>
      </c>
      <c r="K125" t="s">
        <v>24</v>
      </c>
      <c r="L125" t="s">
        <v>513</v>
      </c>
      <c r="M125" t="s">
        <v>514</v>
      </c>
      <c r="N125" t="s">
        <v>515</v>
      </c>
      <c r="O125" t="s">
        <v>28</v>
      </c>
      <c r="Q125">
        <v>4.8</v>
      </c>
      <c r="T125" t="s">
        <v>29</v>
      </c>
      <c r="U125" t="s">
        <v>24</v>
      </c>
      <c r="V125" t="s">
        <v>322</v>
      </c>
    </row>
    <row r="126" spans="1:22" x14ac:dyDescent="0.25">
      <c r="A126" t="s">
        <v>516</v>
      </c>
      <c r="B126">
        <v>-7.077</v>
      </c>
      <c r="C126">
        <v>123.283</v>
      </c>
      <c r="D126">
        <v>653.79999999999995</v>
      </c>
      <c r="E126">
        <v>4.5999999999999996</v>
      </c>
      <c r="F126" t="s">
        <v>23</v>
      </c>
      <c r="J126">
        <v>0.7</v>
      </c>
      <c r="K126" t="s">
        <v>24</v>
      </c>
      <c r="L126" t="s">
        <v>517</v>
      </c>
      <c r="M126" t="s">
        <v>518</v>
      </c>
      <c r="N126" t="s">
        <v>519</v>
      </c>
      <c r="O126" t="s">
        <v>28</v>
      </c>
      <c r="Q126">
        <v>8.3000000000000007</v>
      </c>
      <c r="S126">
        <v>5</v>
      </c>
      <c r="T126" t="s">
        <v>29</v>
      </c>
      <c r="U126" t="s">
        <v>24</v>
      </c>
      <c r="V126" t="s">
        <v>24</v>
      </c>
    </row>
    <row r="127" spans="1:22" x14ac:dyDescent="0.25">
      <c r="A127" t="s">
        <v>520</v>
      </c>
      <c r="B127">
        <v>-7.2729999999999997</v>
      </c>
      <c r="C127">
        <v>122.28100000000001</v>
      </c>
      <c r="D127">
        <v>613</v>
      </c>
      <c r="E127">
        <v>5.6</v>
      </c>
      <c r="F127" t="s">
        <v>23</v>
      </c>
      <c r="J127">
        <v>0.9</v>
      </c>
      <c r="K127" t="s">
        <v>24</v>
      </c>
      <c r="L127" t="s">
        <v>521</v>
      </c>
      <c r="M127" t="s">
        <v>522</v>
      </c>
      <c r="N127" t="s">
        <v>523</v>
      </c>
      <c r="O127" t="s">
        <v>28</v>
      </c>
      <c r="Q127">
        <v>2.2000000000000002</v>
      </c>
      <c r="S127">
        <v>37</v>
      </c>
      <c r="T127" t="s">
        <v>29</v>
      </c>
      <c r="U127" t="s">
        <v>24</v>
      </c>
      <c r="V127" t="s">
        <v>24</v>
      </c>
    </row>
    <row r="128" spans="1:22" x14ac:dyDescent="0.25">
      <c r="A128" t="s">
        <v>524</v>
      </c>
      <c r="B128">
        <v>-7.3390000000000004</v>
      </c>
      <c r="C128">
        <v>122.238</v>
      </c>
      <c r="D128">
        <v>631.9</v>
      </c>
      <c r="E128">
        <v>5.4</v>
      </c>
      <c r="F128" t="s">
        <v>23</v>
      </c>
      <c r="J128">
        <v>1</v>
      </c>
      <c r="K128" t="s">
        <v>24</v>
      </c>
      <c r="L128" t="s">
        <v>525</v>
      </c>
      <c r="M128" t="s">
        <v>526</v>
      </c>
      <c r="N128" t="s">
        <v>527</v>
      </c>
      <c r="O128" t="s">
        <v>28</v>
      </c>
      <c r="Q128">
        <v>7.6</v>
      </c>
      <c r="S128">
        <v>23</v>
      </c>
      <c r="T128" t="s">
        <v>29</v>
      </c>
      <c r="U128" t="s">
        <v>24</v>
      </c>
      <c r="V128" t="s">
        <v>24</v>
      </c>
    </row>
    <row r="129" spans="1:22" x14ac:dyDescent="0.25">
      <c r="A129" t="s">
        <v>528</v>
      </c>
      <c r="B129">
        <v>-6.8959999999999999</v>
      </c>
      <c r="C129">
        <v>125.054</v>
      </c>
      <c r="D129">
        <v>540.79999999999995</v>
      </c>
      <c r="E129">
        <v>5.2</v>
      </c>
      <c r="F129" t="s">
        <v>23</v>
      </c>
      <c r="J129">
        <v>1</v>
      </c>
      <c r="K129" t="s">
        <v>24</v>
      </c>
      <c r="L129" t="s">
        <v>529</v>
      </c>
      <c r="M129" t="s">
        <v>530</v>
      </c>
      <c r="N129" t="s">
        <v>361</v>
      </c>
      <c r="O129" t="s">
        <v>28</v>
      </c>
      <c r="Q129">
        <v>8.1</v>
      </c>
      <c r="S129">
        <v>20</v>
      </c>
      <c r="T129" t="s">
        <v>29</v>
      </c>
      <c r="U129" t="s">
        <v>24</v>
      </c>
      <c r="V129" t="s">
        <v>24</v>
      </c>
    </row>
    <row r="130" spans="1:22" x14ac:dyDescent="0.25">
      <c r="A130" t="s">
        <v>531</v>
      </c>
      <c r="B130">
        <v>-6.9089999999999998</v>
      </c>
      <c r="C130">
        <v>124.971</v>
      </c>
      <c r="D130">
        <v>529.4</v>
      </c>
      <c r="E130">
        <v>5.2</v>
      </c>
      <c r="F130" t="s">
        <v>23</v>
      </c>
      <c r="J130">
        <v>0.9</v>
      </c>
      <c r="K130" t="s">
        <v>24</v>
      </c>
      <c r="L130" t="s">
        <v>532</v>
      </c>
      <c r="M130" t="s">
        <v>533</v>
      </c>
      <c r="N130" t="s">
        <v>534</v>
      </c>
      <c r="O130" t="s">
        <v>28</v>
      </c>
      <c r="Q130">
        <v>5.9</v>
      </c>
      <c r="S130">
        <v>17</v>
      </c>
      <c r="T130" t="s">
        <v>29</v>
      </c>
      <c r="U130" t="s">
        <v>24</v>
      </c>
      <c r="V130" t="s">
        <v>24</v>
      </c>
    </row>
    <row r="131" spans="1:22" x14ac:dyDescent="0.25">
      <c r="A131" t="s">
        <v>535</v>
      </c>
      <c r="B131">
        <v>-7.351</v>
      </c>
      <c r="C131">
        <v>121.812</v>
      </c>
      <c r="D131">
        <v>293.5</v>
      </c>
      <c r="E131">
        <v>4.5999999999999996</v>
      </c>
      <c r="F131" t="s">
        <v>23</v>
      </c>
      <c r="J131">
        <v>1.4</v>
      </c>
      <c r="K131" t="s">
        <v>24</v>
      </c>
      <c r="L131" t="s">
        <v>536</v>
      </c>
      <c r="M131" t="s">
        <v>537</v>
      </c>
      <c r="N131" t="s">
        <v>538</v>
      </c>
      <c r="O131" t="s">
        <v>28</v>
      </c>
      <c r="Q131">
        <v>42.3</v>
      </c>
      <c r="S131">
        <v>1</v>
      </c>
      <c r="T131" t="s">
        <v>29</v>
      </c>
      <c r="U131" t="s">
        <v>24</v>
      </c>
      <c r="V131" t="s">
        <v>24</v>
      </c>
    </row>
    <row r="132" spans="1:22" x14ac:dyDescent="0.25">
      <c r="A132" t="s">
        <v>539</v>
      </c>
      <c r="B132">
        <v>-7.202</v>
      </c>
      <c r="C132">
        <v>123.871</v>
      </c>
      <c r="D132">
        <v>577.6</v>
      </c>
      <c r="E132">
        <v>5.3</v>
      </c>
      <c r="F132" t="s">
        <v>318</v>
      </c>
      <c r="J132">
        <v>1</v>
      </c>
      <c r="K132" t="s">
        <v>24</v>
      </c>
      <c r="L132" t="s">
        <v>540</v>
      </c>
      <c r="M132" t="s">
        <v>541</v>
      </c>
      <c r="N132" t="s">
        <v>542</v>
      </c>
      <c r="O132" t="s">
        <v>28</v>
      </c>
      <c r="Q132">
        <v>4</v>
      </c>
      <c r="T132" t="s">
        <v>29</v>
      </c>
      <c r="U132" t="s">
        <v>24</v>
      </c>
      <c r="V132" t="s">
        <v>322</v>
      </c>
    </row>
    <row r="133" spans="1:22" x14ac:dyDescent="0.25">
      <c r="A133" t="s">
        <v>543</v>
      </c>
      <c r="B133">
        <v>-7.1829999999999998</v>
      </c>
      <c r="C133">
        <v>124.765</v>
      </c>
      <c r="D133">
        <v>554.1</v>
      </c>
      <c r="E133">
        <v>5.2</v>
      </c>
      <c r="F133" t="s">
        <v>23</v>
      </c>
      <c r="J133">
        <v>1</v>
      </c>
      <c r="K133" t="s">
        <v>24</v>
      </c>
      <c r="L133" t="s">
        <v>544</v>
      </c>
      <c r="M133" t="s">
        <v>545</v>
      </c>
      <c r="N133" t="s">
        <v>546</v>
      </c>
      <c r="O133" t="s">
        <v>28</v>
      </c>
      <c r="Q133">
        <v>11.3</v>
      </c>
      <c r="S133">
        <v>5</v>
      </c>
      <c r="T133" t="s">
        <v>29</v>
      </c>
      <c r="U133" t="s">
        <v>24</v>
      </c>
      <c r="V133" t="s">
        <v>24</v>
      </c>
    </row>
    <row r="134" spans="1:22" x14ac:dyDescent="0.25">
      <c r="A134" t="s">
        <v>547</v>
      </c>
      <c r="B134">
        <v>-7.1520000000000001</v>
      </c>
      <c r="C134">
        <v>120.465</v>
      </c>
      <c r="D134">
        <v>566.5</v>
      </c>
      <c r="E134">
        <v>5.0999999999999996</v>
      </c>
      <c r="F134" t="s">
        <v>23</v>
      </c>
      <c r="J134">
        <v>0.7</v>
      </c>
      <c r="K134" t="s">
        <v>24</v>
      </c>
      <c r="L134" t="s">
        <v>548</v>
      </c>
      <c r="M134" t="s">
        <v>549</v>
      </c>
      <c r="N134" t="s">
        <v>550</v>
      </c>
      <c r="O134" t="s">
        <v>28</v>
      </c>
      <c r="Q134">
        <v>12.4</v>
      </c>
      <c r="S134">
        <v>9</v>
      </c>
      <c r="T134" t="s">
        <v>29</v>
      </c>
      <c r="U134" t="s">
        <v>24</v>
      </c>
      <c r="V134" t="s">
        <v>24</v>
      </c>
    </row>
    <row r="135" spans="1:22" x14ac:dyDescent="0.25">
      <c r="A135" t="s">
        <v>551</v>
      </c>
      <c r="B135">
        <v>-7.2290000000000001</v>
      </c>
      <c r="C135">
        <v>120.26</v>
      </c>
      <c r="D135">
        <v>391.7</v>
      </c>
      <c r="E135">
        <v>4.7</v>
      </c>
      <c r="F135" t="s">
        <v>23</v>
      </c>
      <c r="J135">
        <v>0.9</v>
      </c>
      <c r="K135" t="s">
        <v>24</v>
      </c>
      <c r="L135" t="s">
        <v>552</v>
      </c>
      <c r="M135" t="s">
        <v>553</v>
      </c>
      <c r="N135" t="s">
        <v>483</v>
      </c>
      <c r="O135" t="s">
        <v>28</v>
      </c>
      <c r="Q135">
        <v>13.8</v>
      </c>
      <c r="S135">
        <v>3</v>
      </c>
      <c r="T135" t="s">
        <v>29</v>
      </c>
      <c r="U135" t="s">
        <v>24</v>
      </c>
      <c r="V135" t="s">
        <v>24</v>
      </c>
    </row>
    <row r="136" spans="1:22" x14ac:dyDescent="0.25">
      <c r="A136" t="s">
        <v>554</v>
      </c>
      <c r="B136">
        <v>-7.3419999999999996</v>
      </c>
      <c r="C136">
        <v>120.19</v>
      </c>
      <c r="D136">
        <v>424.1</v>
      </c>
      <c r="E136">
        <v>5.7</v>
      </c>
      <c r="F136" t="s">
        <v>318</v>
      </c>
      <c r="J136">
        <v>1.1000000000000001</v>
      </c>
      <c r="K136" t="s">
        <v>24</v>
      </c>
      <c r="L136" t="s">
        <v>555</v>
      </c>
      <c r="M136" t="s">
        <v>556</v>
      </c>
      <c r="N136" t="s">
        <v>557</v>
      </c>
      <c r="O136" t="s">
        <v>28</v>
      </c>
      <c r="Q136">
        <v>2.7</v>
      </c>
      <c r="T136" t="s">
        <v>29</v>
      </c>
      <c r="U136" t="s">
        <v>24</v>
      </c>
      <c r="V136" t="s">
        <v>322</v>
      </c>
    </row>
    <row r="137" spans="1:22" x14ac:dyDescent="0.25">
      <c r="A137" t="s">
        <v>558</v>
      </c>
      <c r="B137">
        <v>-6.8550000000000004</v>
      </c>
      <c r="C137">
        <v>122.434</v>
      </c>
      <c r="D137">
        <v>268.89999999999998</v>
      </c>
      <c r="E137">
        <v>4.9000000000000004</v>
      </c>
      <c r="F137" t="s">
        <v>23</v>
      </c>
      <c r="J137">
        <v>1.5</v>
      </c>
      <c r="K137" t="s">
        <v>24</v>
      </c>
      <c r="L137" t="s">
        <v>559</v>
      </c>
      <c r="M137" t="s">
        <v>560</v>
      </c>
      <c r="N137" t="s">
        <v>561</v>
      </c>
      <c r="O137" t="s">
        <v>28</v>
      </c>
      <c r="Q137">
        <v>47</v>
      </c>
      <c r="S137">
        <v>2</v>
      </c>
      <c r="T137" t="s">
        <v>29</v>
      </c>
      <c r="U137" t="s">
        <v>24</v>
      </c>
      <c r="V137" t="s">
        <v>24</v>
      </c>
    </row>
    <row r="138" spans="1:22" x14ac:dyDescent="0.25">
      <c r="A138" t="s">
        <v>562</v>
      </c>
      <c r="B138">
        <v>-7.3810000000000002</v>
      </c>
      <c r="C138">
        <v>120.295</v>
      </c>
      <c r="D138">
        <v>595.6</v>
      </c>
      <c r="E138">
        <v>5.8</v>
      </c>
      <c r="F138" t="s">
        <v>318</v>
      </c>
      <c r="J138">
        <v>0.9</v>
      </c>
      <c r="K138" t="s">
        <v>24</v>
      </c>
      <c r="L138" t="s">
        <v>563</v>
      </c>
      <c r="M138" t="s">
        <v>564</v>
      </c>
      <c r="N138" t="s">
        <v>557</v>
      </c>
      <c r="O138" t="s">
        <v>28</v>
      </c>
      <c r="Q138">
        <v>3.1</v>
      </c>
      <c r="T138" t="s">
        <v>29</v>
      </c>
      <c r="U138" t="s">
        <v>24</v>
      </c>
      <c r="V138" t="s">
        <v>322</v>
      </c>
    </row>
    <row r="139" spans="1:22" x14ac:dyDescent="0.25">
      <c r="A139" t="s">
        <v>565</v>
      </c>
      <c r="B139">
        <v>-5.8250000000000002</v>
      </c>
      <c r="C139">
        <v>125.116</v>
      </c>
      <c r="D139">
        <v>31.3</v>
      </c>
      <c r="E139">
        <v>4.8</v>
      </c>
      <c r="F139" t="s">
        <v>23</v>
      </c>
      <c r="J139">
        <v>1.1000000000000001</v>
      </c>
      <c r="K139" t="s">
        <v>24</v>
      </c>
      <c r="L139" t="s">
        <v>566</v>
      </c>
      <c r="M139" t="s">
        <v>567</v>
      </c>
      <c r="N139" t="s">
        <v>37</v>
      </c>
      <c r="O139" t="s">
        <v>28</v>
      </c>
      <c r="Q139">
        <v>6.9</v>
      </c>
      <c r="S139">
        <v>4</v>
      </c>
      <c r="T139" t="s">
        <v>29</v>
      </c>
      <c r="U139" t="s">
        <v>24</v>
      </c>
      <c r="V139" t="s">
        <v>24</v>
      </c>
    </row>
    <row r="140" spans="1:22" x14ac:dyDescent="0.25">
      <c r="A140" t="s">
        <v>568</v>
      </c>
      <c r="B140">
        <v>-7.4669999999999996</v>
      </c>
      <c r="C140">
        <v>123.392</v>
      </c>
      <c r="D140">
        <v>290.60000000000002</v>
      </c>
      <c r="E140">
        <v>4.5999999999999996</v>
      </c>
      <c r="F140" t="s">
        <v>23</v>
      </c>
      <c r="J140">
        <v>1.1000000000000001</v>
      </c>
      <c r="K140" t="s">
        <v>24</v>
      </c>
      <c r="L140" t="s">
        <v>569</v>
      </c>
      <c r="M140" t="s">
        <v>570</v>
      </c>
      <c r="N140" t="s">
        <v>571</v>
      </c>
      <c r="O140" t="s">
        <v>28</v>
      </c>
      <c r="Q140">
        <v>35</v>
      </c>
      <c r="S140">
        <v>4</v>
      </c>
      <c r="T140" t="s">
        <v>29</v>
      </c>
      <c r="U140" t="s">
        <v>24</v>
      </c>
      <c r="V140" t="s">
        <v>24</v>
      </c>
    </row>
    <row r="141" spans="1:22" x14ac:dyDescent="0.25">
      <c r="A141" t="s">
        <v>572</v>
      </c>
      <c r="B141">
        <v>-6.9450000000000003</v>
      </c>
      <c r="C141">
        <v>123.39100000000001</v>
      </c>
      <c r="D141">
        <v>612.20000000000005</v>
      </c>
      <c r="E141">
        <v>4.7</v>
      </c>
      <c r="F141" t="s">
        <v>23</v>
      </c>
      <c r="J141">
        <v>1</v>
      </c>
      <c r="K141" t="s">
        <v>24</v>
      </c>
      <c r="L141" t="s">
        <v>573</v>
      </c>
      <c r="M141" t="s">
        <v>574</v>
      </c>
      <c r="N141" t="s">
        <v>575</v>
      </c>
      <c r="O141" t="s">
        <v>28</v>
      </c>
      <c r="Q141">
        <v>21.1</v>
      </c>
      <c r="S141">
        <v>7</v>
      </c>
      <c r="T141" t="s">
        <v>29</v>
      </c>
      <c r="U141" t="s">
        <v>24</v>
      </c>
      <c r="V141" t="s">
        <v>24</v>
      </c>
    </row>
    <row r="142" spans="1:22" x14ac:dyDescent="0.25">
      <c r="A142" t="s">
        <v>576</v>
      </c>
      <c r="B142">
        <v>-6.9889999999999999</v>
      </c>
      <c r="C142">
        <v>123.28</v>
      </c>
      <c r="D142">
        <v>612.29999999999995</v>
      </c>
      <c r="E142">
        <v>4.8</v>
      </c>
      <c r="F142" t="s">
        <v>23</v>
      </c>
      <c r="J142">
        <v>0.9</v>
      </c>
      <c r="K142" t="s">
        <v>24</v>
      </c>
      <c r="L142" t="s">
        <v>577</v>
      </c>
      <c r="M142" t="s">
        <v>578</v>
      </c>
      <c r="N142" t="s">
        <v>579</v>
      </c>
      <c r="O142" t="s">
        <v>28</v>
      </c>
      <c r="Q142">
        <v>13.5</v>
      </c>
      <c r="S142">
        <v>8</v>
      </c>
      <c r="T142" t="s">
        <v>29</v>
      </c>
      <c r="U142" t="s">
        <v>24</v>
      </c>
      <c r="V142" t="s">
        <v>24</v>
      </c>
    </row>
    <row r="143" spans="1:22" x14ac:dyDescent="0.25">
      <c r="A143" t="s">
        <v>580</v>
      </c>
      <c r="B143">
        <v>-6.9930000000000003</v>
      </c>
      <c r="C143">
        <v>123.4</v>
      </c>
      <c r="D143">
        <v>626.20000000000005</v>
      </c>
      <c r="E143">
        <v>5.2</v>
      </c>
      <c r="F143" t="s">
        <v>23</v>
      </c>
      <c r="J143">
        <v>0.9</v>
      </c>
      <c r="K143" t="s">
        <v>24</v>
      </c>
      <c r="L143" t="s">
        <v>581</v>
      </c>
      <c r="M143" t="s">
        <v>582</v>
      </c>
      <c r="N143" t="s">
        <v>583</v>
      </c>
      <c r="O143" t="s">
        <v>28</v>
      </c>
      <c r="Q143">
        <v>4</v>
      </c>
      <c r="S143">
        <v>19</v>
      </c>
      <c r="T143" t="s">
        <v>29</v>
      </c>
      <c r="U143" t="s">
        <v>24</v>
      </c>
      <c r="V143" t="s">
        <v>24</v>
      </c>
    </row>
    <row r="144" spans="1:22" x14ac:dyDescent="0.25">
      <c r="A144" t="s">
        <v>584</v>
      </c>
      <c r="B144">
        <v>-7.101</v>
      </c>
      <c r="C144">
        <v>123.386</v>
      </c>
      <c r="D144">
        <v>625.9</v>
      </c>
      <c r="E144">
        <v>5.4</v>
      </c>
      <c r="F144" t="s">
        <v>318</v>
      </c>
      <c r="J144">
        <v>0.9</v>
      </c>
      <c r="K144" t="s">
        <v>24</v>
      </c>
      <c r="L144" t="s">
        <v>585</v>
      </c>
      <c r="M144" t="s">
        <v>586</v>
      </c>
      <c r="N144" t="s">
        <v>587</v>
      </c>
      <c r="O144" t="s">
        <v>28</v>
      </c>
      <c r="Q144">
        <v>5.3</v>
      </c>
      <c r="T144" t="s">
        <v>29</v>
      </c>
      <c r="U144" t="s">
        <v>24</v>
      </c>
      <c r="V144" t="s">
        <v>322</v>
      </c>
    </row>
    <row r="145" spans="1:22" x14ac:dyDescent="0.25">
      <c r="A145" t="s">
        <v>588</v>
      </c>
      <c r="B145">
        <v>-6.9569999999999999</v>
      </c>
      <c r="C145">
        <v>123.374</v>
      </c>
      <c r="D145">
        <v>626.1</v>
      </c>
      <c r="E145">
        <v>4.5</v>
      </c>
      <c r="F145" t="s">
        <v>23</v>
      </c>
      <c r="J145">
        <v>1.2</v>
      </c>
      <c r="K145" t="s">
        <v>24</v>
      </c>
      <c r="L145" t="s">
        <v>589</v>
      </c>
      <c r="M145" t="s">
        <v>590</v>
      </c>
      <c r="N145" t="s">
        <v>591</v>
      </c>
      <c r="O145" t="s">
        <v>28</v>
      </c>
      <c r="Q145">
        <v>27.3</v>
      </c>
      <c r="S145">
        <v>6</v>
      </c>
      <c r="T145" t="s">
        <v>29</v>
      </c>
      <c r="U145" t="s">
        <v>24</v>
      </c>
      <c r="V145" t="s">
        <v>24</v>
      </c>
    </row>
    <row r="146" spans="1:22" x14ac:dyDescent="0.25">
      <c r="A146" t="s">
        <v>592</v>
      </c>
      <c r="B146">
        <v>-7.3289999999999997</v>
      </c>
      <c r="C146">
        <v>121.626</v>
      </c>
      <c r="D146">
        <v>506.5</v>
      </c>
      <c r="E146">
        <v>5</v>
      </c>
      <c r="F146" t="s">
        <v>23</v>
      </c>
      <c r="J146">
        <v>0.8</v>
      </c>
      <c r="K146" t="s">
        <v>24</v>
      </c>
      <c r="L146" t="s">
        <v>593</v>
      </c>
      <c r="M146" t="s">
        <v>594</v>
      </c>
      <c r="N146" t="s">
        <v>595</v>
      </c>
      <c r="O146" t="s">
        <v>28</v>
      </c>
      <c r="Q146">
        <v>14.7</v>
      </c>
      <c r="S146">
        <v>12</v>
      </c>
      <c r="T146" t="s">
        <v>29</v>
      </c>
      <c r="U146" t="s">
        <v>24</v>
      </c>
      <c r="V146" t="s">
        <v>24</v>
      </c>
    </row>
    <row r="147" spans="1:22" x14ac:dyDescent="0.25">
      <c r="A147" t="s">
        <v>596</v>
      </c>
      <c r="B147">
        <v>-7.32</v>
      </c>
      <c r="C147">
        <v>120.69199999999999</v>
      </c>
      <c r="D147">
        <v>490.1</v>
      </c>
      <c r="E147">
        <v>4.5999999999999996</v>
      </c>
      <c r="F147" t="s">
        <v>23</v>
      </c>
      <c r="J147">
        <v>1</v>
      </c>
      <c r="K147" t="s">
        <v>24</v>
      </c>
      <c r="L147" t="s">
        <v>597</v>
      </c>
      <c r="M147" t="s">
        <v>598</v>
      </c>
      <c r="N147" t="s">
        <v>599</v>
      </c>
      <c r="O147" t="s">
        <v>28</v>
      </c>
      <c r="Q147">
        <v>6.2</v>
      </c>
      <c r="S147">
        <v>10</v>
      </c>
      <c r="T147" t="s">
        <v>29</v>
      </c>
      <c r="U147" t="s">
        <v>24</v>
      </c>
      <c r="V147" t="s">
        <v>24</v>
      </c>
    </row>
    <row r="148" spans="1:22" x14ac:dyDescent="0.25">
      <c r="A148" t="s">
        <v>600</v>
      </c>
      <c r="B148">
        <v>-6.9740000000000002</v>
      </c>
      <c r="C148">
        <v>122.407</v>
      </c>
      <c r="D148">
        <v>33</v>
      </c>
      <c r="E148">
        <v>4.5999999999999996</v>
      </c>
      <c r="F148" t="s">
        <v>23</v>
      </c>
      <c r="J148">
        <v>1.2</v>
      </c>
      <c r="K148" t="s">
        <v>24</v>
      </c>
      <c r="L148" t="s">
        <v>601</v>
      </c>
      <c r="M148" t="s">
        <v>602</v>
      </c>
      <c r="N148" t="s">
        <v>603</v>
      </c>
      <c r="O148" t="s">
        <v>28</v>
      </c>
      <c r="S148">
        <v>6</v>
      </c>
      <c r="T148" t="s">
        <v>29</v>
      </c>
      <c r="U148" t="s">
        <v>24</v>
      </c>
      <c r="V148" t="s">
        <v>24</v>
      </c>
    </row>
    <row r="149" spans="1:22" x14ac:dyDescent="0.25">
      <c r="A149" t="s">
        <v>604</v>
      </c>
      <c r="B149">
        <v>-7.1909999999999998</v>
      </c>
      <c r="C149">
        <v>122.715</v>
      </c>
      <c r="D149">
        <v>620.29999999999995</v>
      </c>
      <c r="E149">
        <v>5.8</v>
      </c>
      <c r="F149" t="s">
        <v>318</v>
      </c>
      <c r="J149">
        <v>0.9</v>
      </c>
      <c r="K149" t="s">
        <v>24</v>
      </c>
      <c r="L149" t="s">
        <v>605</v>
      </c>
      <c r="M149" t="s">
        <v>606</v>
      </c>
      <c r="N149" t="s">
        <v>607</v>
      </c>
      <c r="O149" t="s">
        <v>28</v>
      </c>
      <c r="T149" t="s">
        <v>29</v>
      </c>
      <c r="U149" t="s">
        <v>24</v>
      </c>
      <c r="V149" t="s">
        <v>322</v>
      </c>
    </row>
    <row r="150" spans="1:22" x14ac:dyDescent="0.25">
      <c r="A150" t="s">
        <v>608</v>
      </c>
      <c r="B150">
        <v>-7.2370000000000001</v>
      </c>
      <c r="C150">
        <v>122.68899999999999</v>
      </c>
      <c r="D150">
        <v>632.20000000000005</v>
      </c>
      <c r="E150">
        <v>5.4</v>
      </c>
      <c r="F150" t="s">
        <v>23</v>
      </c>
      <c r="J150">
        <v>1</v>
      </c>
      <c r="K150" t="s">
        <v>24</v>
      </c>
      <c r="L150" t="s">
        <v>609</v>
      </c>
      <c r="M150" t="s">
        <v>610</v>
      </c>
      <c r="N150" t="s">
        <v>611</v>
      </c>
      <c r="O150" t="s">
        <v>28</v>
      </c>
      <c r="Q150">
        <v>8.3000000000000007</v>
      </c>
      <c r="S150">
        <v>11</v>
      </c>
      <c r="T150" t="s">
        <v>29</v>
      </c>
      <c r="U150" t="s">
        <v>24</v>
      </c>
      <c r="V150" t="s">
        <v>24</v>
      </c>
    </row>
    <row r="151" spans="1:22" x14ac:dyDescent="0.25">
      <c r="A151" t="s">
        <v>612</v>
      </c>
      <c r="B151">
        <v>-6.09</v>
      </c>
      <c r="C151">
        <v>122.69199999999999</v>
      </c>
      <c r="D151">
        <v>33</v>
      </c>
      <c r="E151">
        <v>4.7</v>
      </c>
      <c r="F151" t="s">
        <v>23</v>
      </c>
      <c r="J151">
        <v>0.9</v>
      </c>
      <c r="K151" t="s">
        <v>24</v>
      </c>
      <c r="L151" t="s">
        <v>613</v>
      </c>
      <c r="M151" t="s">
        <v>614</v>
      </c>
      <c r="N151" t="s">
        <v>615</v>
      </c>
      <c r="O151" t="s">
        <v>28</v>
      </c>
      <c r="S151">
        <v>2</v>
      </c>
      <c r="T151" t="s">
        <v>29</v>
      </c>
      <c r="U151" t="s">
        <v>24</v>
      </c>
      <c r="V151" t="s">
        <v>24</v>
      </c>
    </row>
    <row r="152" spans="1:22" x14ac:dyDescent="0.25">
      <c r="A152" t="s">
        <v>616</v>
      </c>
      <c r="B152">
        <v>-6.99</v>
      </c>
      <c r="C152">
        <v>124.807</v>
      </c>
      <c r="D152">
        <v>551.5</v>
      </c>
      <c r="E152">
        <v>5.3</v>
      </c>
      <c r="F152" t="s">
        <v>318</v>
      </c>
      <c r="J152">
        <v>0.9</v>
      </c>
      <c r="K152" t="s">
        <v>24</v>
      </c>
      <c r="L152" t="s">
        <v>617</v>
      </c>
      <c r="M152" t="s">
        <v>618</v>
      </c>
      <c r="N152" t="s">
        <v>619</v>
      </c>
      <c r="O152" t="s">
        <v>28</v>
      </c>
      <c r="Q152">
        <v>5.3</v>
      </c>
      <c r="T152" t="s">
        <v>29</v>
      </c>
      <c r="U152" t="s">
        <v>24</v>
      </c>
      <c r="V152" t="s">
        <v>322</v>
      </c>
    </row>
    <row r="153" spans="1:22" x14ac:dyDescent="0.25">
      <c r="A153" t="s">
        <v>620</v>
      </c>
      <c r="B153">
        <v>-7.1829999999999998</v>
      </c>
      <c r="C153">
        <v>125.242</v>
      </c>
      <c r="D153">
        <v>527.1</v>
      </c>
      <c r="E153">
        <v>5.3</v>
      </c>
      <c r="F153" t="s">
        <v>318</v>
      </c>
      <c r="J153">
        <v>1.1000000000000001</v>
      </c>
      <c r="K153" t="s">
        <v>24</v>
      </c>
      <c r="L153" t="s">
        <v>621</v>
      </c>
      <c r="M153" t="s">
        <v>622</v>
      </c>
      <c r="N153" t="s">
        <v>623</v>
      </c>
      <c r="O153" t="s">
        <v>28</v>
      </c>
      <c r="Q153">
        <v>4.7</v>
      </c>
      <c r="T153" t="s">
        <v>29</v>
      </c>
      <c r="U153" t="s">
        <v>24</v>
      </c>
      <c r="V153" t="s">
        <v>322</v>
      </c>
    </row>
    <row r="154" spans="1:22" x14ac:dyDescent="0.25">
      <c r="A154" t="s">
        <v>624</v>
      </c>
      <c r="B154">
        <v>-7.3630000000000004</v>
      </c>
      <c r="C154">
        <v>120.363</v>
      </c>
      <c r="D154">
        <v>588.9</v>
      </c>
      <c r="E154">
        <v>7.1</v>
      </c>
      <c r="F154" t="s">
        <v>318</v>
      </c>
      <c r="J154">
        <v>0.9</v>
      </c>
      <c r="K154" t="s">
        <v>24</v>
      </c>
      <c r="L154" t="s">
        <v>625</v>
      </c>
      <c r="M154" t="s">
        <v>626</v>
      </c>
      <c r="N154" t="s">
        <v>321</v>
      </c>
      <c r="O154" t="s">
        <v>28</v>
      </c>
      <c r="T154" t="s">
        <v>29</v>
      </c>
      <c r="U154" t="s">
        <v>24</v>
      </c>
      <c r="V154" t="s">
        <v>322</v>
      </c>
    </row>
    <row r="155" spans="1:22" x14ac:dyDescent="0.25">
      <c r="A155" t="s">
        <v>627</v>
      </c>
      <c r="B155">
        <v>-7.4329999999999998</v>
      </c>
      <c r="C155">
        <v>120.426</v>
      </c>
      <c r="D155">
        <v>636.29999999999995</v>
      </c>
      <c r="E155">
        <v>4.5999999999999996</v>
      </c>
      <c r="F155" t="s">
        <v>23</v>
      </c>
      <c r="J155">
        <v>0.5</v>
      </c>
      <c r="K155" t="s">
        <v>24</v>
      </c>
      <c r="L155" t="s">
        <v>628</v>
      </c>
      <c r="M155" t="s">
        <v>629</v>
      </c>
      <c r="N155" t="s">
        <v>630</v>
      </c>
      <c r="O155" t="s">
        <v>28</v>
      </c>
      <c r="Q155">
        <v>34.1</v>
      </c>
      <c r="S155">
        <v>6</v>
      </c>
      <c r="T155" t="s">
        <v>29</v>
      </c>
      <c r="U155" t="s">
        <v>24</v>
      </c>
      <c r="V155" t="s">
        <v>24</v>
      </c>
    </row>
    <row r="156" spans="1:22" x14ac:dyDescent="0.25">
      <c r="A156" t="s">
        <v>631</v>
      </c>
      <c r="B156">
        <v>-7.0039999999999996</v>
      </c>
      <c r="C156">
        <v>125.074</v>
      </c>
      <c r="D156">
        <v>567</v>
      </c>
      <c r="E156">
        <v>5</v>
      </c>
      <c r="F156" t="s">
        <v>23</v>
      </c>
      <c r="J156">
        <v>0.9</v>
      </c>
      <c r="K156" t="s">
        <v>24</v>
      </c>
      <c r="L156" t="s">
        <v>632</v>
      </c>
      <c r="M156" t="s">
        <v>633</v>
      </c>
      <c r="N156" t="s">
        <v>634</v>
      </c>
      <c r="O156" t="s">
        <v>28</v>
      </c>
      <c r="Q156">
        <v>9.6</v>
      </c>
      <c r="S156">
        <v>5</v>
      </c>
      <c r="T156" t="s">
        <v>29</v>
      </c>
      <c r="U156" t="s">
        <v>24</v>
      </c>
      <c r="V156" t="s">
        <v>24</v>
      </c>
    </row>
    <row r="157" spans="1:22" x14ac:dyDescent="0.25">
      <c r="A157" t="s">
        <v>635</v>
      </c>
      <c r="B157">
        <v>-7.2229999999999999</v>
      </c>
      <c r="C157">
        <v>120.5</v>
      </c>
      <c r="D157">
        <v>521.79999999999995</v>
      </c>
      <c r="E157">
        <v>4.9000000000000004</v>
      </c>
      <c r="F157" t="s">
        <v>23</v>
      </c>
      <c r="J157">
        <v>1.4</v>
      </c>
      <c r="K157" t="s">
        <v>24</v>
      </c>
      <c r="L157" t="s">
        <v>636</v>
      </c>
      <c r="M157" t="s">
        <v>637</v>
      </c>
      <c r="N157" t="s">
        <v>638</v>
      </c>
      <c r="O157" t="s">
        <v>28</v>
      </c>
      <c r="Q157">
        <v>11.4</v>
      </c>
      <c r="S157">
        <v>10</v>
      </c>
      <c r="T157" t="s">
        <v>29</v>
      </c>
      <c r="U157" t="s">
        <v>24</v>
      </c>
      <c r="V157" t="s">
        <v>24</v>
      </c>
    </row>
    <row r="158" spans="1:22" x14ac:dyDescent="0.25">
      <c r="A158" t="s">
        <v>639</v>
      </c>
      <c r="B158">
        <v>-6.7169999999999996</v>
      </c>
      <c r="C158">
        <v>124.82899999999999</v>
      </c>
      <c r="D158">
        <v>590.29999999999995</v>
      </c>
      <c r="E158">
        <v>4.5999999999999996</v>
      </c>
      <c r="F158" t="s">
        <v>23</v>
      </c>
      <c r="J158">
        <v>0.6</v>
      </c>
      <c r="K158" t="s">
        <v>24</v>
      </c>
      <c r="L158" t="s">
        <v>640</v>
      </c>
      <c r="M158" t="s">
        <v>641</v>
      </c>
      <c r="N158" t="s">
        <v>642</v>
      </c>
      <c r="O158" t="s">
        <v>28</v>
      </c>
      <c r="Q158">
        <v>34.299999999999997</v>
      </c>
      <c r="S158">
        <v>8</v>
      </c>
      <c r="T158" t="s">
        <v>29</v>
      </c>
      <c r="U158" t="s">
        <v>24</v>
      </c>
      <c r="V158" t="s">
        <v>24</v>
      </c>
    </row>
    <row r="159" spans="1:22" x14ac:dyDescent="0.25">
      <c r="A159" t="s">
        <v>643</v>
      </c>
      <c r="B159">
        <v>-7.0149999999999997</v>
      </c>
      <c r="C159">
        <v>124.913</v>
      </c>
      <c r="D159">
        <v>546.5</v>
      </c>
      <c r="E159">
        <v>5</v>
      </c>
      <c r="F159" t="s">
        <v>23</v>
      </c>
      <c r="J159">
        <v>0.8</v>
      </c>
      <c r="K159" t="s">
        <v>24</v>
      </c>
      <c r="L159" t="s">
        <v>644</v>
      </c>
      <c r="M159" t="s">
        <v>645</v>
      </c>
      <c r="N159" t="s">
        <v>646</v>
      </c>
      <c r="O159" t="s">
        <v>28</v>
      </c>
      <c r="Q159">
        <v>11.8</v>
      </c>
      <c r="S159">
        <v>5</v>
      </c>
      <c r="T159" t="s">
        <v>29</v>
      </c>
      <c r="U159" t="s">
        <v>24</v>
      </c>
      <c r="V159" t="s">
        <v>24</v>
      </c>
    </row>
    <row r="160" spans="1:22" x14ac:dyDescent="0.25">
      <c r="A160" t="s">
        <v>647</v>
      </c>
      <c r="B160">
        <v>-6.2229999999999999</v>
      </c>
      <c r="C160">
        <v>124.28700000000001</v>
      </c>
      <c r="D160">
        <v>35.5</v>
      </c>
      <c r="E160">
        <v>5.2</v>
      </c>
      <c r="F160" t="s">
        <v>23</v>
      </c>
      <c r="J160">
        <v>1.1000000000000001</v>
      </c>
      <c r="K160" t="s">
        <v>24</v>
      </c>
      <c r="L160" t="s">
        <v>648</v>
      </c>
      <c r="M160" t="s">
        <v>649</v>
      </c>
      <c r="N160" t="s">
        <v>650</v>
      </c>
      <c r="O160" t="s">
        <v>28</v>
      </c>
      <c r="Q160">
        <v>11</v>
      </c>
      <c r="S160">
        <v>13</v>
      </c>
      <c r="T160" t="s">
        <v>29</v>
      </c>
      <c r="U160" t="s">
        <v>24</v>
      </c>
      <c r="V160" t="s">
        <v>24</v>
      </c>
    </row>
    <row r="161" spans="1:22" x14ac:dyDescent="0.25">
      <c r="A161" t="s">
        <v>651</v>
      </c>
      <c r="B161">
        <v>-6.2779999999999996</v>
      </c>
      <c r="C161">
        <v>124.294</v>
      </c>
      <c r="D161">
        <v>33</v>
      </c>
      <c r="E161">
        <v>5.2</v>
      </c>
      <c r="F161" t="s">
        <v>23</v>
      </c>
      <c r="J161">
        <v>0.9</v>
      </c>
      <c r="K161" t="s">
        <v>24</v>
      </c>
      <c r="L161" t="s">
        <v>652</v>
      </c>
      <c r="M161" t="s">
        <v>653</v>
      </c>
      <c r="N161" t="s">
        <v>654</v>
      </c>
      <c r="O161" t="s">
        <v>28</v>
      </c>
      <c r="S161">
        <v>8</v>
      </c>
      <c r="T161" t="s">
        <v>29</v>
      </c>
      <c r="U161" t="s">
        <v>24</v>
      </c>
      <c r="V161" t="s">
        <v>24</v>
      </c>
    </row>
    <row r="162" spans="1:22" x14ac:dyDescent="0.25">
      <c r="A162" t="s">
        <v>655</v>
      </c>
      <c r="B162">
        <v>-7.202</v>
      </c>
      <c r="C162">
        <v>122.996</v>
      </c>
      <c r="D162">
        <v>544.79999999999995</v>
      </c>
      <c r="E162">
        <v>5</v>
      </c>
      <c r="F162" t="s">
        <v>23</v>
      </c>
      <c r="J162">
        <v>1</v>
      </c>
      <c r="K162" t="s">
        <v>24</v>
      </c>
      <c r="L162" t="s">
        <v>656</v>
      </c>
      <c r="M162" t="s">
        <v>657</v>
      </c>
      <c r="N162" t="s">
        <v>240</v>
      </c>
      <c r="O162" t="s">
        <v>28</v>
      </c>
      <c r="Q162">
        <v>7.8</v>
      </c>
      <c r="S162">
        <v>16</v>
      </c>
      <c r="T162" t="s">
        <v>29</v>
      </c>
      <c r="U162" t="s">
        <v>24</v>
      </c>
      <c r="V162" t="s">
        <v>24</v>
      </c>
    </row>
    <row r="163" spans="1:22" x14ac:dyDescent="0.25">
      <c r="A163" t="s">
        <v>658</v>
      </c>
      <c r="B163">
        <v>-7.3289999999999997</v>
      </c>
      <c r="C163">
        <v>120.416</v>
      </c>
      <c r="D163">
        <v>495.2</v>
      </c>
      <c r="E163">
        <v>4.9000000000000004</v>
      </c>
      <c r="F163" t="s">
        <v>23</v>
      </c>
      <c r="J163">
        <v>1</v>
      </c>
      <c r="K163" t="s">
        <v>24</v>
      </c>
      <c r="L163" t="s">
        <v>659</v>
      </c>
      <c r="M163" t="s">
        <v>660</v>
      </c>
      <c r="N163" t="s">
        <v>236</v>
      </c>
      <c r="O163" t="s">
        <v>28</v>
      </c>
      <c r="Q163">
        <v>5.7</v>
      </c>
      <c r="S163">
        <v>31</v>
      </c>
      <c r="T163" t="s">
        <v>29</v>
      </c>
      <c r="U163" t="s">
        <v>24</v>
      </c>
      <c r="V163" t="s">
        <v>24</v>
      </c>
    </row>
    <row r="164" spans="1:22" x14ac:dyDescent="0.25">
      <c r="A164" t="s">
        <v>661</v>
      </c>
      <c r="B164">
        <v>-7.4950000000000001</v>
      </c>
      <c r="C164">
        <v>119.423</v>
      </c>
      <c r="D164">
        <v>272.39999999999998</v>
      </c>
      <c r="E164">
        <v>4.5</v>
      </c>
      <c r="F164" t="s">
        <v>23</v>
      </c>
      <c r="J164">
        <v>1</v>
      </c>
      <c r="K164" t="s">
        <v>24</v>
      </c>
      <c r="L164" t="s">
        <v>662</v>
      </c>
      <c r="M164" t="s">
        <v>663</v>
      </c>
      <c r="N164" t="s">
        <v>664</v>
      </c>
      <c r="O164" t="s">
        <v>28</v>
      </c>
      <c r="Q164">
        <v>12.5</v>
      </c>
      <c r="S164">
        <v>9</v>
      </c>
      <c r="T164" t="s">
        <v>29</v>
      </c>
      <c r="U164" t="s">
        <v>24</v>
      </c>
      <c r="V164" t="s">
        <v>24</v>
      </c>
    </row>
    <row r="165" spans="1:22" x14ac:dyDescent="0.25">
      <c r="A165" t="s">
        <v>665</v>
      </c>
      <c r="B165">
        <v>-7.2039999999999997</v>
      </c>
      <c r="C165">
        <v>122.533</v>
      </c>
      <c r="D165">
        <v>536.4</v>
      </c>
      <c r="E165">
        <v>6.9</v>
      </c>
      <c r="F165" t="s">
        <v>318</v>
      </c>
      <c r="J165">
        <v>1.1000000000000001</v>
      </c>
      <c r="K165" t="s">
        <v>24</v>
      </c>
      <c r="L165" t="s">
        <v>666</v>
      </c>
      <c r="M165" t="s">
        <v>667</v>
      </c>
      <c r="N165" t="s">
        <v>668</v>
      </c>
      <c r="O165" t="s">
        <v>28</v>
      </c>
      <c r="Q165">
        <v>3.4</v>
      </c>
      <c r="T165" t="s">
        <v>29</v>
      </c>
      <c r="U165" t="s">
        <v>24</v>
      </c>
      <c r="V165" t="s">
        <v>322</v>
      </c>
    </row>
    <row r="166" spans="1:22" x14ac:dyDescent="0.25">
      <c r="A166" t="s">
        <v>669</v>
      </c>
      <c r="B166">
        <v>-7.2359999999999998</v>
      </c>
      <c r="C166">
        <v>122.354</v>
      </c>
      <c r="D166">
        <v>550</v>
      </c>
      <c r="E166">
        <v>5.3</v>
      </c>
      <c r="F166" t="s">
        <v>23</v>
      </c>
      <c r="J166">
        <v>1</v>
      </c>
      <c r="K166" t="s">
        <v>24</v>
      </c>
      <c r="L166" t="s">
        <v>670</v>
      </c>
      <c r="M166" t="s">
        <v>671</v>
      </c>
      <c r="N166" t="s">
        <v>672</v>
      </c>
      <c r="O166" t="s">
        <v>28</v>
      </c>
      <c r="Q166">
        <v>9.9</v>
      </c>
      <c r="S166">
        <v>9</v>
      </c>
      <c r="T166" t="s">
        <v>29</v>
      </c>
      <c r="U166" t="s">
        <v>24</v>
      </c>
      <c r="V166" t="s">
        <v>24</v>
      </c>
    </row>
    <row r="167" spans="1:22" x14ac:dyDescent="0.25">
      <c r="A167" t="s">
        <v>673</v>
      </c>
      <c r="B167">
        <v>-6.9180000000000001</v>
      </c>
      <c r="C167">
        <v>124.67700000000001</v>
      </c>
      <c r="D167">
        <v>579.79999999999995</v>
      </c>
      <c r="E167">
        <v>4.5</v>
      </c>
      <c r="F167" t="s">
        <v>23</v>
      </c>
      <c r="J167">
        <v>0.8</v>
      </c>
      <c r="K167" t="s">
        <v>24</v>
      </c>
      <c r="L167" t="s">
        <v>674</v>
      </c>
      <c r="M167" t="s">
        <v>675</v>
      </c>
      <c r="N167" t="s">
        <v>676</v>
      </c>
      <c r="O167" t="s">
        <v>28</v>
      </c>
      <c r="Q167">
        <v>19.100000000000001</v>
      </c>
      <c r="S167">
        <v>2</v>
      </c>
      <c r="T167" t="s">
        <v>29</v>
      </c>
      <c r="U167" t="s">
        <v>24</v>
      </c>
      <c r="V167" t="s">
        <v>24</v>
      </c>
    </row>
    <row r="168" spans="1:22" x14ac:dyDescent="0.25">
      <c r="A168" t="s">
        <v>677</v>
      </c>
      <c r="B168">
        <v>-7.22</v>
      </c>
      <c r="C168">
        <v>123.76900000000001</v>
      </c>
      <c r="D168">
        <v>604.4</v>
      </c>
      <c r="E168">
        <v>5.0999999999999996</v>
      </c>
      <c r="F168" t="s">
        <v>23</v>
      </c>
      <c r="J168">
        <v>0.8</v>
      </c>
      <c r="K168" t="s">
        <v>24</v>
      </c>
      <c r="L168" t="s">
        <v>678</v>
      </c>
      <c r="M168" t="s">
        <v>679</v>
      </c>
      <c r="N168" t="s">
        <v>680</v>
      </c>
      <c r="O168" t="s">
        <v>28</v>
      </c>
      <c r="Q168">
        <v>4.8</v>
      </c>
      <c r="S168">
        <v>27</v>
      </c>
      <c r="T168" t="s">
        <v>29</v>
      </c>
      <c r="U168" t="s">
        <v>24</v>
      </c>
      <c r="V168" t="s">
        <v>24</v>
      </c>
    </row>
    <row r="169" spans="1:22" x14ac:dyDescent="0.25">
      <c r="A169" t="s">
        <v>681</v>
      </c>
      <c r="B169">
        <v>-6.8849999999999998</v>
      </c>
      <c r="C169">
        <v>125.24299999999999</v>
      </c>
      <c r="D169">
        <v>556.29999999999995</v>
      </c>
      <c r="E169">
        <v>5</v>
      </c>
      <c r="F169" t="s">
        <v>23</v>
      </c>
      <c r="J169">
        <v>0.7</v>
      </c>
      <c r="K169" t="s">
        <v>24</v>
      </c>
      <c r="L169" t="s">
        <v>682</v>
      </c>
      <c r="M169" t="s">
        <v>683</v>
      </c>
      <c r="N169" t="s">
        <v>684</v>
      </c>
      <c r="O169" t="s">
        <v>28</v>
      </c>
      <c r="Q169">
        <v>20.9</v>
      </c>
      <c r="S169">
        <v>8</v>
      </c>
      <c r="T169" t="s">
        <v>29</v>
      </c>
      <c r="U169" t="s">
        <v>24</v>
      </c>
      <c r="V169" t="s">
        <v>24</v>
      </c>
    </row>
    <row r="170" spans="1:22" x14ac:dyDescent="0.25">
      <c r="A170" t="s">
        <v>685</v>
      </c>
      <c r="B170">
        <v>-7.22</v>
      </c>
      <c r="C170">
        <v>125.15300000000001</v>
      </c>
      <c r="D170">
        <v>401.7</v>
      </c>
      <c r="E170">
        <v>4.8</v>
      </c>
      <c r="F170" t="s">
        <v>23</v>
      </c>
      <c r="J170">
        <v>1.4</v>
      </c>
      <c r="K170" t="s">
        <v>24</v>
      </c>
      <c r="L170" t="s">
        <v>686</v>
      </c>
      <c r="M170" t="s">
        <v>687</v>
      </c>
      <c r="N170" t="s">
        <v>688</v>
      </c>
      <c r="O170" t="s">
        <v>28</v>
      </c>
      <c r="Q170">
        <v>16.8</v>
      </c>
      <c r="S170">
        <v>4</v>
      </c>
      <c r="T170" t="s">
        <v>29</v>
      </c>
      <c r="U170" t="s">
        <v>24</v>
      </c>
      <c r="V170" t="s">
        <v>24</v>
      </c>
    </row>
    <row r="171" spans="1:22" x14ac:dyDescent="0.25">
      <c r="A171" t="s">
        <v>689</v>
      </c>
      <c r="B171">
        <v>-7.3869999999999996</v>
      </c>
      <c r="C171">
        <v>119.468</v>
      </c>
      <c r="D171">
        <v>242.1</v>
      </c>
      <c r="E171">
        <v>4.9000000000000004</v>
      </c>
      <c r="F171" t="s">
        <v>23</v>
      </c>
      <c r="J171">
        <v>0.9</v>
      </c>
      <c r="K171" t="s">
        <v>24</v>
      </c>
      <c r="L171" t="s">
        <v>690</v>
      </c>
      <c r="M171" t="s">
        <v>691</v>
      </c>
      <c r="N171" t="s">
        <v>692</v>
      </c>
      <c r="O171" t="s">
        <v>28</v>
      </c>
      <c r="Q171">
        <v>25.3</v>
      </c>
      <c r="S171">
        <v>3</v>
      </c>
      <c r="T171" t="s">
        <v>29</v>
      </c>
      <c r="U171" t="s">
        <v>24</v>
      </c>
      <c r="V171" t="s">
        <v>24</v>
      </c>
    </row>
    <row r="172" spans="1:22" x14ac:dyDescent="0.25">
      <c r="A172" t="s">
        <v>693</v>
      </c>
      <c r="B172">
        <v>-6.7480000000000002</v>
      </c>
      <c r="C172">
        <v>125.25</v>
      </c>
      <c r="D172">
        <v>533.1</v>
      </c>
      <c r="E172">
        <v>4.9000000000000004</v>
      </c>
      <c r="F172" t="s">
        <v>23</v>
      </c>
      <c r="J172">
        <v>0.7</v>
      </c>
      <c r="K172" t="s">
        <v>24</v>
      </c>
      <c r="L172" t="s">
        <v>694</v>
      </c>
      <c r="M172" t="s">
        <v>695</v>
      </c>
      <c r="N172" t="s">
        <v>696</v>
      </c>
      <c r="O172" t="s">
        <v>28</v>
      </c>
      <c r="Q172">
        <v>8.4</v>
      </c>
      <c r="S172">
        <v>11</v>
      </c>
      <c r="T172" t="s">
        <v>29</v>
      </c>
      <c r="U172" t="s">
        <v>24</v>
      </c>
      <c r="V172" t="s">
        <v>24</v>
      </c>
    </row>
    <row r="173" spans="1:22" x14ac:dyDescent="0.25">
      <c r="A173" t="s">
        <v>697</v>
      </c>
      <c r="B173">
        <v>-7.149</v>
      </c>
      <c r="C173">
        <v>125.17400000000001</v>
      </c>
      <c r="D173">
        <v>525.20000000000005</v>
      </c>
      <c r="E173">
        <v>4.8</v>
      </c>
      <c r="F173" t="s">
        <v>23</v>
      </c>
      <c r="J173">
        <v>0.8</v>
      </c>
      <c r="K173" t="s">
        <v>24</v>
      </c>
      <c r="L173" t="s">
        <v>698</v>
      </c>
      <c r="M173" t="s">
        <v>699</v>
      </c>
      <c r="N173" t="s">
        <v>700</v>
      </c>
      <c r="O173" t="s">
        <v>28</v>
      </c>
      <c r="Q173">
        <v>4.7</v>
      </c>
      <c r="S173">
        <v>14</v>
      </c>
      <c r="T173" t="s">
        <v>29</v>
      </c>
      <c r="U173" t="s">
        <v>24</v>
      </c>
      <c r="V173" t="s">
        <v>24</v>
      </c>
    </row>
    <row r="174" spans="1:22" x14ac:dyDescent="0.25">
      <c r="A174" t="s">
        <v>701</v>
      </c>
      <c r="B174">
        <v>-7.5330000000000004</v>
      </c>
      <c r="C174">
        <v>122.83799999999999</v>
      </c>
      <c r="D174">
        <v>262</v>
      </c>
      <c r="E174">
        <v>4.5999999999999996</v>
      </c>
      <c r="F174" t="s">
        <v>23</v>
      </c>
      <c r="J174">
        <v>0.9</v>
      </c>
      <c r="K174" t="s">
        <v>24</v>
      </c>
      <c r="L174" t="s">
        <v>702</v>
      </c>
      <c r="M174" t="s">
        <v>703</v>
      </c>
      <c r="N174" t="s">
        <v>704</v>
      </c>
      <c r="O174" t="s">
        <v>28</v>
      </c>
      <c r="Q174">
        <v>11.8</v>
      </c>
      <c r="S174">
        <v>5</v>
      </c>
      <c r="T174" t="s">
        <v>29</v>
      </c>
      <c r="U174" t="s">
        <v>24</v>
      </c>
      <c r="V174" t="s">
        <v>24</v>
      </c>
    </row>
    <row r="175" spans="1:22" x14ac:dyDescent="0.25">
      <c r="A175" t="s">
        <v>705</v>
      </c>
      <c r="B175">
        <v>-7.28</v>
      </c>
      <c r="C175">
        <v>122.46299999999999</v>
      </c>
      <c r="D175">
        <v>556.4</v>
      </c>
      <c r="E175">
        <v>5</v>
      </c>
      <c r="F175" t="s">
        <v>23</v>
      </c>
      <c r="J175">
        <v>1</v>
      </c>
      <c r="K175" t="s">
        <v>24</v>
      </c>
      <c r="L175" t="s">
        <v>706</v>
      </c>
      <c r="M175" t="s">
        <v>707</v>
      </c>
      <c r="N175" t="s">
        <v>708</v>
      </c>
      <c r="O175" t="s">
        <v>28</v>
      </c>
      <c r="Q175">
        <v>5.7</v>
      </c>
      <c r="S175">
        <v>33</v>
      </c>
      <c r="T175" t="s">
        <v>29</v>
      </c>
      <c r="U175" t="s">
        <v>24</v>
      </c>
      <c r="V175" t="s">
        <v>24</v>
      </c>
    </row>
    <row r="176" spans="1:22" x14ac:dyDescent="0.25">
      <c r="A176" t="s">
        <v>709</v>
      </c>
      <c r="B176">
        <v>-7.4450000000000003</v>
      </c>
      <c r="C176">
        <v>124.732</v>
      </c>
      <c r="D176">
        <v>386.7</v>
      </c>
      <c r="E176">
        <v>5.0999999999999996</v>
      </c>
      <c r="F176" t="s">
        <v>318</v>
      </c>
      <c r="J176">
        <v>1</v>
      </c>
      <c r="K176" t="s">
        <v>24</v>
      </c>
      <c r="L176" t="s">
        <v>710</v>
      </c>
      <c r="M176" t="s">
        <v>711</v>
      </c>
      <c r="N176" t="s">
        <v>712</v>
      </c>
      <c r="O176" t="s">
        <v>28</v>
      </c>
      <c r="Q176">
        <v>4.4000000000000004</v>
      </c>
      <c r="T176" t="s">
        <v>29</v>
      </c>
      <c r="U176" t="s">
        <v>24</v>
      </c>
      <c r="V176" t="s">
        <v>322</v>
      </c>
    </row>
    <row r="177" spans="1:22" x14ac:dyDescent="0.25">
      <c r="A177" t="s">
        <v>713</v>
      </c>
      <c r="B177">
        <v>-7.0990000000000002</v>
      </c>
      <c r="C177">
        <v>124.19499999999999</v>
      </c>
      <c r="D177">
        <v>610.70000000000005</v>
      </c>
      <c r="E177">
        <v>5.2</v>
      </c>
      <c r="F177" t="s">
        <v>318</v>
      </c>
      <c r="J177">
        <v>1</v>
      </c>
      <c r="K177" t="s">
        <v>24</v>
      </c>
      <c r="L177" t="s">
        <v>714</v>
      </c>
      <c r="M177" t="s">
        <v>715</v>
      </c>
      <c r="N177" t="s">
        <v>716</v>
      </c>
      <c r="O177" t="s">
        <v>28</v>
      </c>
      <c r="Q177">
        <v>3.7</v>
      </c>
      <c r="T177" t="s">
        <v>29</v>
      </c>
      <c r="U177" t="s">
        <v>24</v>
      </c>
      <c r="V177" t="s">
        <v>322</v>
      </c>
    </row>
    <row r="178" spans="1:22" x14ac:dyDescent="0.25">
      <c r="A178" t="s">
        <v>717</v>
      </c>
      <c r="B178">
        <v>-6.5090000000000003</v>
      </c>
      <c r="C178">
        <v>124.31699999999999</v>
      </c>
      <c r="D178">
        <v>597.4</v>
      </c>
      <c r="E178">
        <v>4.9000000000000004</v>
      </c>
      <c r="F178" t="s">
        <v>23</v>
      </c>
      <c r="J178">
        <v>0.8</v>
      </c>
      <c r="K178" t="s">
        <v>24</v>
      </c>
      <c r="L178" t="s">
        <v>718</v>
      </c>
      <c r="M178" t="s">
        <v>719</v>
      </c>
      <c r="N178" t="s">
        <v>720</v>
      </c>
      <c r="O178" t="s">
        <v>28</v>
      </c>
      <c r="Q178">
        <v>7.4</v>
      </c>
      <c r="S178">
        <v>17</v>
      </c>
      <c r="T178" t="s">
        <v>29</v>
      </c>
      <c r="U178" t="s">
        <v>24</v>
      </c>
      <c r="V178" t="s">
        <v>24</v>
      </c>
    </row>
    <row r="179" spans="1:22" x14ac:dyDescent="0.25">
      <c r="A179" t="s">
        <v>721</v>
      </c>
      <c r="B179">
        <v>-7.4279999999999999</v>
      </c>
      <c r="C179">
        <v>125.233</v>
      </c>
      <c r="D179">
        <v>326</v>
      </c>
      <c r="E179">
        <v>4.5</v>
      </c>
      <c r="F179" t="s">
        <v>23</v>
      </c>
      <c r="J179">
        <v>0.1</v>
      </c>
      <c r="K179" t="s">
        <v>24</v>
      </c>
      <c r="L179" t="s">
        <v>722</v>
      </c>
      <c r="M179" t="s">
        <v>723</v>
      </c>
      <c r="N179" t="s">
        <v>724</v>
      </c>
      <c r="O179" t="s">
        <v>28</v>
      </c>
      <c r="Q179">
        <v>20.8</v>
      </c>
      <c r="S179">
        <v>2</v>
      </c>
      <c r="T179" t="s">
        <v>29</v>
      </c>
      <c r="U179" t="s">
        <v>24</v>
      </c>
      <c r="V179" t="s">
        <v>24</v>
      </c>
    </row>
    <row r="180" spans="1:22" x14ac:dyDescent="0.25">
      <c r="A180" t="s">
        <v>725</v>
      </c>
      <c r="B180">
        <v>-7.1440000000000001</v>
      </c>
      <c r="C180">
        <v>125.09099999999999</v>
      </c>
      <c r="D180">
        <v>507.7</v>
      </c>
      <c r="E180">
        <v>4.9000000000000004</v>
      </c>
      <c r="F180" t="s">
        <v>23</v>
      </c>
      <c r="J180">
        <v>0.9</v>
      </c>
      <c r="K180" t="s">
        <v>24</v>
      </c>
      <c r="L180" t="s">
        <v>726</v>
      </c>
      <c r="M180" t="s">
        <v>727</v>
      </c>
      <c r="N180" t="s">
        <v>728</v>
      </c>
      <c r="O180" t="s">
        <v>28</v>
      </c>
      <c r="Q180">
        <v>22.1</v>
      </c>
      <c r="S180">
        <v>3</v>
      </c>
      <c r="T180" t="s">
        <v>29</v>
      </c>
      <c r="U180" t="s">
        <v>24</v>
      </c>
      <c r="V180" t="s">
        <v>24</v>
      </c>
    </row>
    <row r="181" spans="1:22" x14ac:dyDescent="0.25">
      <c r="A181" t="s">
        <v>729</v>
      </c>
      <c r="B181">
        <v>-7.1130000000000004</v>
      </c>
      <c r="C181">
        <v>125.063</v>
      </c>
      <c r="D181">
        <v>492.4</v>
      </c>
      <c r="E181">
        <v>5.2</v>
      </c>
      <c r="F181" t="s">
        <v>23</v>
      </c>
      <c r="J181">
        <v>1.4</v>
      </c>
      <c r="K181" t="s">
        <v>24</v>
      </c>
      <c r="L181" t="s">
        <v>730</v>
      </c>
      <c r="M181" t="s">
        <v>731</v>
      </c>
      <c r="N181" t="s">
        <v>732</v>
      </c>
      <c r="O181" t="s">
        <v>28</v>
      </c>
      <c r="Q181">
        <v>36.299999999999997</v>
      </c>
      <c r="S181">
        <v>2</v>
      </c>
      <c r="T181" t="s">
        <v>29</v>
      </c>
      <c r="U181" t="s">
        <v>24</v>
      </c>
      <c r="V181" t="s">
        <v>24</v>
      </c>
    </row>
    <row r="182" spans="1:22" x14ac:dyDescent="0.25">
      <c r="A182" t="s">
        <v>733</v>
      </c>
      <c r="B182">
        <v>-7.1260000000000003</v>
      </c>
      <c r="C182">
        <v>121.748</v>
      </c>
      <c r="D182">
        <v>485.9</v>
      </c>
      <c r="E182">
        <v>6.6</v>
      </c>
      <c r="F182" t="s">
        <v>734</v>
      </c>
      <c r="J182">
        <v>1</v>
      </c>
      <c r="K182" t="s">
        <v>24</v>
      </c>
      <c r="L182" t="s">
        <v>735</v>
      </c>
      <c r="M182" t="s">
        <v>736</v>
      </c>
      <c r="N182" t="s">
        <v>737</v>
      </c>
      <c r="O182" t="s">
        <v>28</v>
      </c>
      <c r="T182" t="s">
        <v>29</v>
      </c>
      <c r="U182" t="s">
        <v>24</v>
      </c>
      <c r="V182" t="s">
        <v>24</v>
      </c>
    </row>
    <row r="183" spans="1:22" x14ac:dyDescent="0.25">
      <c r="A183" t="s">
        <v>738</v>
      </c>
      <c r="B183">
        <v>-7.32</v>
      </c>
      <c r="C183">
        <v>120.35599999999999</v>
      </c>
      <c r="D183">
        <v>638.5</v>
      </c>
      <c r="E183">
        <v>5</v>
      </c>
      <c r="F183" t="s">
        <v>23</v>
      </c>
      <c r="J183">
        <v>1</v>
      </c>
      <c r="K183" t="s">
        <v>24</v>
      </c>
      <c r="L183" t="s">
        <v>739</v>
      </c>
      <c r="M183" t="s">
        <v>740</v>
      </c>
      <c r="N183" t="s">
        <v>400</v>
      </c>
      <c r="O183" t="s">
        <v>28</v>
      </c>
      <c r="Q183">
        <v>4.3</v>
      </c>
      <c r="S183">
        <v>39</v>
      </c>
      <c r="T183" t="s">
        <v>29</v>
      </c>
      <c r="U183" t="s">
        <v>24</v>
      </c>
      <c r="V183" t="s">
        <v>24</v>
      </c>
    </row>
    <row r="184" spans="1:22" x14ac:dyDescent="0.25">
      <c r="A184" t="s">
        <v>741</v>
      </c>
      <c r="B184">
        <v>-7.407</v>
      </c>
      <c r="C184">
        <v>120.321</v>
      </c>
      <c r="D184">
        <v>657.6</v>
      </c>
      <c r="E184">
        <v>4.7</v>
      </c>
      <c r="F184" t="s">
        <v>23</v>
      </c>
      <c r="J184">
        <v>0.8</v>
      </c>
      <c r="K184" t="s">
        <v>24</v>
      </c>
      <c r="L184" t="s">
        <v>742</v>
      </c>
      <c r="M184" t="s">
        <v>743</v>
      </c>
      <c r="N184" t="s">
        <v>256</v>
      </c>
      <c r="O184" t="s">
        <v>28</v>
      </c>
      <c r="Q184">
        <v>14.6</v>
      </c>
      <c r="S184">
        <v>5</v>
      </c>
      <c r="T184" t="s">
        <v>29</v>
      </c>
      <c r="U184" t="s">
        <v>24</v>
      </c>
      <c r="V184" t="s">
        <v>24</v>
      </c>
    </row>
    <row r="185" spans="1:22" x14ac:dyDescent="0.25">
      <c r="A185" t="s">
        <v>744</v>
      </c>
      <c r="B185">
        <v>-7.3179999999999996</v>
      </c>
      <c r="C185">
        <v>120.33799999999999</v>
      </c>
      <c r="D185">
        <v>398.9</v>
      </c>
      <c r="E185">
        <v>4.7</v>
      </c>
      <c r="F185" t="s">
        <v>23</v>
      </c>
      <c r="J185">
        <v>0.8</v>
      </c>
      <c r="K185" t="s">
        <v>24</v>
      </c>
      <c r="L185" t="s">
        <v>745</v>
      </c>
      <c r="M185" t="s">
        <v>746</v>
      </c>
      <c r="N185" t="s">
        <v>400</v>
      </c>
      <c r="O185" t="s">
        <v>28</v>
      </c>
      <c r="Q185">
        <v>9</v>
      </c>
      <c r="S185">
        <v>8</v>
      </c>
      <c r="T185" t="s">
        <v>29</v>
      </c>
      <c r="U185" t="s">
        <v>24</v>
      </c>
      <c r="V185" t="s">
        <v>24</v>
      </c>
    </row>
    <row r="186" spans="1:22" x14ac:dyDescent="0.25">
      <c r="A186" t="s">
        <v>747</v>
      </c>
      <c r="B186">
        <v>-7.0259999999999998</v>
      </c>
      <c r="C186">
        <v>122.97</v>
      </c>
      <c r="D186">
        <v>33</v>
      </c>
      <c r="E186">
        <v>4.7</v>
      </c>
      <c r="F186" t="s">
        <v>23</v>
      </c>
      <c r="J186">
        <v>1.1000000000000001</v>
      </c>
      <c r="K186" t="s">
        <v>24</v>
      </c>
      <c r="L186" t="s">
        <v>748</v>
      </c>
      <c r="M186" t="s">
        <v>749</v>
      </c>
      <c r="N186" t="s">
        <v>750</v>
      </c>
      <c r="O186" t="s">
        <v>28</v>
      </c>
      <c r="S186">
        <v>11</v>
      </c>
      <c r="T186" t="s">
        <v>29</v>
      </c>
      <c r="U186" t="s">
        <v>24</v>
      </c>
      <c r="V186" t="s">
        <v>24</v>
      </c>
    </row>
    <row r="187" spans="1:22" x14ac:dyDescent="0.25">
      <c r="A187" t="s">
        <v>751</v>
      </c>
      <c r="B187">
        <v>-7.5289999999999999</v>
      </c>
      <c r="C187">
        <v>120.803</v>
      </c>
      <c r="D187">
        <v>39.4</v>
      </c>
      <c r="E187">
        <v>4.9000000000000004</v>
      </c>
      <c r="F187" t="s">
        <v>23</v>
      </c>
      <c r="J187">
        <v>1</v>
      </c>
      <c r="K187" t="s">
        <v>24</v>
      </c>
      <c r="L187" t="s">
        <v>752</v>
      </c>
      <c r="M187" t="s">
        <v>753</v>
      </c>
      <c r="N187" t="s">
        <v>754</v>
      </c>
      <c r="O187" t="s">
        <v>28</v>
      </c>
      <c r="Q187">
        <v>12.9</v>
      </c>
      <c r="S187">
        <v>12</v>
      </c>
      <c r="T187" t="s">
        <v>29</v>
      </c>
      <c r="U187" t="s">
        <v>24</v>
      </c>
      <c r="V187" t="s">
        <v>24</v>
      </c>
    </row>
    <row r="188" spans="1:22" x14ac:dyDescent="0.25">
      <c r="A188" t="s">
        <v>755</v>
      </c>
      <c r="B188">
        <v>-4.548</v>
      </c>
      <c r="C188">
        <v>119.94799999999999</v>
      </c>
      <c r="D188">
        <v>60</v>
      </c>
      <c r="E188">
        <v>5</v>
      </c>
      <c r="F188" t="s">
        <v>23</v>
      </c>
      <c r="J188">
        <v>1.5</v>
      </c>
      <c r="K188" t="s">
        <v>24</v>
      </c>
      <c r="L188" t="s">
        <v>756</v>
      </c>
      <c r="M188" t="s">
        <v>757</v>
      </c>
      <c r="N188" t="s">
        <v>758</v>
      </c>
      <c r="O188" t="s">
        <v>28</v>
      </c>
      <c r="Q188">
        <v>10.3</v>
      </c>
      <c r="S188">
        <v>24</v>
      </c>
      <c r="T188" t="s">
        <v>29</v>
      </c>
      <c r="U188" t="s">
        <v>24</v>
      </c>
      <c r="V188" t="s">
        <v>24</v>
      </c>
    </row>
    <row r="189" spans="1:22" x14ac:dyDescent="0.25">
      <c r="A189" t="s">
        <v>759</v>
      </c>
      <c r="B189">
        <v>-5.2430000000000003</v>
      </c>
      <c r="C189">
        <v>123.535</v>
      </c>
      <c r="D189">
        <v>33</v>
      </c>
      <c r="E189">
        <v>5</v>
      </c>
      <c r="F189" t="s">
        <v>23</v>
      </c>
      <c r="J189">
        <v>1.2</v>
      </c>
      <c r="K189" t="s">
        <v>24</v>
      </c>
      <c r="L189" t="s">
        <v>760</v>
      </c>
      <c r="M189" t="s">
        <v>761</v>
      </c>
      <c r="N189" t="s">
        <v>762</v>
      </c>
      <c r="O189" t="s">
        <v>28</v>
      </c>
      <c r="S189">
        <v>14</v>
      </c>
      <c r="T189" t="s">
        <v>29</v>
      </c>
      <c r="U189" t="s">
        <v>24</v>
      </c>
      <c r="V189" t="s">
        <v>24</v>
      </c>
    </row>
    <row r="190" spans="1:22" x14ac:dyDescent="0.25">
      <c r="A190" t="s">
        <v>763</v>
      </c>
      <c r="B190">
        <v>-7.4930000000000003</v>
      </c>
      <c r="C190">
        <v>118.962</v>
      </c>
      <c r="D190">
        <v>39.799999999999997</v>
      </c>
      <c r="E190">
        <v>4.8</v>
      </c>
      <c r="F190" t="s">
        <v>23</v>
      </c>
      <c r="J190">
        <v>1</v>
      </c>
      <c r="K190" t="s">
        <v>24</v>
      </c>
      <c r="L190" t="s">
        <v>764</v>
      </c>
      <c r="M190" t="s">
        <v>765</v>
      </c>
      <c r="N190" t="s">
        <v>766</v>
      </c>
      <c r="O190" t="s">
        <v>28</v>
      </c>
      <c r="S190">
        <v>10</v>
      </c>
      <c r="T190" t="s">
        <v>29</v>
      </c>
      <c r="U190" t="s">
        <v>24</v>
      </c>
      <c r="V190" t="s">
        <v>24</v>
      </c>
    </row>
    <row r="191" spans="1:22" x14ac:dyDescent="0.25">
      <c r="A191" t="s">
        <v>767</v>
      </c>
      <c r="B191">
        <v>-7.1769999999999996</v>
      </c>
      <c r="C191">
        <v>120.27200000000001</v>
      </c>
      <c r="D191">
        <v>585.70000000000005</v>
      </c>
      <c r="E191">
        <v>4.9000000000000004</v>
      </c>
      <c r="F191" t="s">
        <v>23</v>
      </c>
      <c r="J191">
        <v>0.5</v>
      </c>
      <c r="K191" t="s">
        <v>24</v>
      </c>
      <c r="L191" t="s">
        <v>768</v>
      </c>
      <c r="M191" t="s">
        <v>769</v>
      </c>
      <c r="N191" t="s">
        <v>221</v>
      </c>
      <c r="O191" t="s">
        <v>28</v>
      </c>
      <c r="Q191">
        <v>31.1</v>
      </c>
      <c r="S191">
        <v>8</v>
      </c>
      <c r="T191" t="s">
        <v>29</v>
      </c>
      <c r="U191" t="s">
        <v>24</v>
      </c>
      <c r="V191" t="s">
        <v>24</v>
      </c>
    </row>
    <row r="192" spans="1:22" x14ac:dyDescent="0.25">
      <c r="A192" t="s">
        <v>770</v>
      </c>
      <c r="B192">
        <v>-6.069</v>
      </c>
      <c r="C192">
        <v>125.06399999999999</v>
      </c>
      <c r="D192">
        <v>592.5</v>
      </c>
      <c r="E192">
        <v>5.0999999999999996</v>
      </c>
      <c r="F192" t="s">
        <v>23</v>
      </c>
      <c r="J192">
        <v>0.8</v>
      </c>
      <c r="K192" t="s">
        <v>24</v>
      </c>
      <c r="L192" t="s">
        <v>771</v>
      </c>
      <c r="M192" t="s">
        <v>772</v>
      </c>
      <c r="N192" t="s">
        <v>773</v>
      </c>
      <c r="O192" t="s">
        <v>28</v>
      </c>
      <c r="Q192">
        <v>17.5</v>
      </c>
      <c r="S192">
        <v>12</v>
      </c>
      <c r="T192" t="s">
        <v>29</v>
      </c>
      <c r="U192" t="s">
        <v>24</v>
      </c>
      <c r="V192" t="s">
        <v>24</v>
      </c>
    </row>
    <row r="193" spans="1:22" x14ac:dyDescent="0.25">
      <c r="A193" t="s">
        <v>774</v>
      </c>
      <c r="B193">
        <v>-6.8179999999999996</v>
      </c>
      <c r="C193">
        <v>125.246</v>
      </c>
      <c r="D193">
        <v>525.4</v>
      </c>
      <c r="E193">
        <v>4.8</v>
      </c>
      <c r="F193" t="s">
        <v>23</v>
      </c>
      <c r="J193">
        <v>0.7</v>
      </c>
      <c r="K193" t="s">
        <v>24</v>
      </c>
      <c r="L193" t="s">
        <v>775</v>
      </c>
      <c r="M193" t="s">
        <v>776</v>
      </c>
      <c r="N193" t="s">
        <v>777</v>
      </c>
      <c r="O193" t="s">
        <v>28</v>
      </c>
      <c r="Q193">
        <v>14.9</v>
      </c>
      <c r="S193">
        <v>17</v>
      </c>
      <c r="T193" t="s">
        <v>29</v>
      </c>
      <c r="U193" t="s">
        <v>24</v>
      </c>
      <c r="V193" t="s">
        <v>24</v>
      </c>
    </row>
    <row r="194" spans="1:22" x14ac:dyDescent="0.25">
      <c r="A194" t="s">
        <v>778</v>
      </c>
      <c r="B194">
        <v>-7.2750000000000004</v>
      </c>
      <c r="C194">
        <v>119.75</v>
      </c>
      <c r="D194">
        <v>447.8</v>
      </c>
      <c r="E194">
        <v>5.0999999999999996</v>
      </c>
      <c r="F194" t="s">
        <v>23</v>
      </c>
      <c r="J194">
        <v>1.2</v>
      </c>
      <c r="K194" t="s">
        <v>24</v>
      </c>
      <c r="L194" t="s">
        <v>779</v>
      </c>
      <c r="M194" t="s">
        <v>780</v>
      </c>
      <c r="N194" t="s">
        <v>781</v>
      </c>
      <c r="O194" t="s">
        <v>28</v>
      </c>
      <c r="Q194">
        <v>7.7</v>
      </c>
      <c r="S194">
        <v>32</v>
      </c>
      <c r="T194" t="s">
        <v>29</v>
      </c>
      <c r="U194" t="s">
        <v>24</v>
      </c>
      <c r="V194" t="s">
        <v>24</v>
      </c>
    </row>
    <row r="195" spans="1:22" x14ac:dyDescent="0.25">
      <c r="A195" t="s">
        <v>782</v>
      </c>
      <c r="B195">
        <v>-6.09</v>
      </c>
      <c r="C195">
        <v>123.489</v>
      </c>
      <c r="D195">
        <v>638.4</v>
      </c>
      <c r="E195">
        <v>4.7</v>
      </c>
      <c r="F195" t="s">
        <v>23</v>
      </c>
      <c r="J195">
        <v>1.1000000000000001</v>
      </c>
      <c r="K195" t="s">
        <v>24</v>
      </c>
      <c r="L195" t="s">
        <v>783</v>
      </c>
      <c r="M195" t="s">
        <v>784</v>
      </c>
      <c r="N195" t="s">
        <v>785</v>
      </c>
      <c r="O195" t="s">
        <v>28</v>
      </c>
      <c r="Q195">
        <v>32.5</v>
      </c>
      <c r="S195">
        <v>7</v>
      </c>
      <c r="T195" t="s">
        <v>29</v>
      </c>
      <c r="U195" t="s">
        <v>24</v>
      </c>
      <c r="V195" t="s">
        <v>24</v>
      </c>
    </row>
    <row r="196" spans="1:22" x14ac:dyDescent="0.25">
      <c r="A196" t="s">
        <v>786</v>
      </c>
      <c r="B196">
        <v>-7.2619999999999996</v>
      </c>
      <c r="C196">
        <v>119.17</v>
      </c>
      <c r="D196">
        <v>606.29999999999995</v>
      </c>
      <c r="E196">
        <v>4.9000000000000004</v>
      </c>
      <c r="F196" t="s">
        <v>23</v>
      </c>
      <c r="J196">
        <v>0.7</v>
      </c>
      <c r="K196" t="s">
        <v>24</v>
      </c>
      <c r="L196" t="s">
        <v>787</v>
      </c>
      <c r="M196" t="s">
        <v>788</v>
      </c>
      <c r="N196" t="s">
        <v>789</v>
      </c>
      <c r="O196" t="s">
        <v>28</v>
      </c>
      <c r="Q196">
        <v>11.4</v>
      </c>
      <c r="S196">
        <v>6</v>
      </c>
      <c r="T196" t="s">
        <v>29</v>
      </c>
      <c r="U196" t="s">
        <v>24</v>
      </c>
      <c r="V196" t="s">
        <v>24</v>
      </c>
    </row>
    <row r="197" spans="1:22" x14ac:dyDescent="0.25">
      <c r="A197" t="s">
        <v>790</v>
      </c>
      <c r="B197">
        <v>-7.2640000000000002</v>
      </c>
      <c r="C197">
        <v>120.425</v>
      </c>
      <c r="D197">
        <v>553.1</v>
      </c>
      <c r="E197">
        <v>5</v>
      </c>
      <c r="F197" t="s">
        <v>23</v>
      </c>
      <c r="J197">
        <v>1</v>
      </c>
      <c r="K197" t="s">
        <v>24</v>
      </c>
      <c r="L197" t="s">
        <v>791</v>
      </c>
      <c r="M197" t="s">
        <v>792</v>
      </c>
      <c r="N197" t="s">
        <v>312</v>
      </c>
      <c r="O197" t="s">
        <v>28</v>
      </c>
      <c r="Q197">
        <v>6.6</v>
      </c>
      <c r="S197">
        <v>22</v>
      </c>
      <c r="T197" t="s">
        <v>29</v>
      </c>
      <c r="U197" t="s">
        <v>24</v>
      </c>
      <c r="V197" t="s">
        <v>24</v>
      </c>
    </row>
    <row r="198" spans="1:22" x14ac:dyDescent="0.25">
      <c r="A198" t="s">
        <v>793</v>
      </c>
      <c r="B198">
        <v>-7.2910000000000004</v>
      </c>
      <c r="C198">
        <v>123.36199999999999</v>
      </c>
      <c r="D198">
        <v>601.5</v>
      </c>
      <c r="E198">
        <v>4.8</v>
      </c>
      <c r="F198" t="s">
        <v>23</v>
      </c>
      <c r="J198">
        <v>0.8</v>
      </c>
      <c r="K198" t="s">
        <v>24</v>
      </c>
      <c r="L198" t="s">
        <v>794</v>
      </c>
      <c r="M198" t="s">
        <v>795</v>
      </c>
      <c r="N198" t="s">
        <v>796</v>
      </c>
      <c r="O198" t="s">
        <v>28</v>
      </c>
      <c r="Q198">
        <v>53.4</v>
      </c>
      <c r="S198">
        <v>3</v>
      </c>
      <c r="T198" t="s">
        <v>29</v>
      </c>
      <c r="U198" t="s">
        <v>24</v>
      </c>
      <c r="V198" t="s">
        <v>24</v>
      </c>
    </row>
    <row r="199" spans="1:22" x14ac:dyDescent="0.25">
      <c r="A199" t="s">
        <v>797</v>
      </c>
      <c r="B199">
        <v>-7.5350000000000001</v>
      </c>
      <c r="C199">
        <v>120.074</v>
      </c>
      <c r="D199">
        <v>414.7</v>
      </c>
      <c r="E199">
        <v>5</v>
      </c>
      <c r="F199" t="s">
        <v>23</v>
      </c>
      <c r="J199">
        <v>1.2</v>
      </c>
      <c r="K199" t="s">
        <v>24</v>
      </c>
      <c r="L199" t="s">
        <v>798</v>
      </c>
      <c r="M199" t="s">
        <v>799</v>
      </c>
      <c r="N199" t="s">
        <v>800</v>
      </c>
      <c r="O199" t="s">
        <v>28</v>
      </c>
      <c r="Q199">
        <v>8.1999999999999993</v>
      </c>
      <c r="S199">
        <v>18</v>
      </c>
      <c r="T199" t="s">
        <v>29</v>
      </c>
      <c r="U199" t="s">
        <v>24</v>
      </c>
      <c r="V199" t="s">
        <v>24</v>
      </c>
    </row>
    <row r="200" spans="1:22" x14ac:dyDescent="0.25">
      <c r="A200" t="s">
        <v>801</v>
      </c>
      <c r="B200">
        <v>-7.3869999999999996</v>
      </c>
      <c r="C200">
        <v>119.771</v>
      </c>
      <c r="D200">
        <v>433.6</v>
      </c>
      <c r="E200">
        <v>5.0999999999999996</v>
      </c>
      <c r="F200" t="s">
        <v>23</v>
      </c>
      <c r="J200">
        <v>0.7</v>
      </c>
      <c r="K200" t="s">
        <v>24</v>
      </c>
      <c r="L200" t="s">
        <v>802</v>
      </c>
      <c r="M200" t="s">
        <v>803</v>
      </c>
      <c r="N200" t="s">
        <v>804</v>
      </c>
      <c r="O200" t="s">
        <v>28</v>
      </c>
      <c r="Q200">
        <v>7.6</v>
      </c>
      <c r="S200">
        <v>12</v>
      </c>
      <c r="T200" t="s">
        <v>29</v>
      </c>
      <c r="U200" t="s">
        <v>24</v>
      </c>
      <c r="V200" t="s">
        <v>24</v>
      </c>
    </row>
    <row r="201" spans="1:22" x14ac:dyDescent="0.25">
      <c r="A201" t="s">
        <v>805</v>
      </c>
      <c r="B201">
        <v>-7.2140000000000004</v>
      </c>
      <c r="C201">
        <v>120.501</v>
      </c>
      <c r="D201">
        <v>551.4</v>
      </c>
      <c r="E201">
        <v>4.9000000000000004</v>
      </c>
      <c r="F201" t="s">
        <v>23</v>
      </c>
      <c r="J201">
        <v>1.2</v>
      </c>
      <c r="K201" t="s">
        <v>24</v>
      </c>
      <c r="L201" t="s">
        <v>806</v>
      </c>
      <c r="M201" t="s">
        <v>807</v>
      </c>
      <c r="N201" t="s">
        <v>808</v>
      </c>
      <c r="O201" t="s">
        <v>28</v>
      </c>
      <c r="Q201">
        <v>13</v>
      </c>
      <c r="S201">
        <v>19</v>
      </c>
      <c r="T201" t="s">
        <v>29</v>
      </c>
      <c r="U201" t="s">
        <v>24</v>
      </c>
      <c r="V201" t="s">
        <v>24</v>
      </c>
    </row>
    <row r="202" spans="1:22" x14ac:dyDescent="0.25">
      <c r="A202" t="s">
        <v>809</v>
      </c>
      <c r="B202">
        <v>-6.9649999999999999</v>
      </c>
      <c r="C202">
        <v>124.111</v>
      </c>
      <c r="D202">
        <v>595.6</v>
      </c>
      <c r="E202">
        <v>6.2</v>
      </c>
      <c r="F202" t="s">
        <v>318</v>
      </c>
      <c r="J202">
        <v>1</v>
      </c>
      <c r="K202" t="s">
        <v>24</v>
      </c>
      <c r="L202" t="s">
        <v>810</v>
      </c>
      <c r="M202" t="s">
        <v>811</v>
      </c>
      <c r="N202" t="s">
        <v>812</v>
      </c>
      <c r="O202" t="s">
        <v>28</v>
      </c>
      <c r="T202" t="s">
        <v>29</v>
      </c>
      <c r="U202" t="s">
        <v>24</v>
      </c>
      <c r="V202" t="s">
        <v>322</v>
      </c>
    </row>
    <row r="203" spans="1:22" x14ac:dyDescent="0.25">
      <c r="A203" t="s">
        <v>813</v>
      </c>
      <c r="B203">
        <v>-6.9160000000000004</v>
      </c>
      <c r="C203">
        <v>118.723</v>
      </c>
      <c r="D203">
        <v>149.69999999999999</v>
      </c>
      <c r="E203">
        <v>4.5999999999999996</v>
      </c>
      <c r="F203" t="s">
        <v>23</v>
      </c>
      <c r="J203">
        <v>0.8</v>
      </c>
      <c r="K203" t="s">
        <v>24</v>
      </c>
      <c r="L203" t="s">
        <v>814</v>
      </c>
      <c r="M203" t="s">
        <v>815</v>
      </c>
      <c r="N203" t="s">
        <v>816</v>
      </c>
      <c r="O203" t="s">
        <v>28</v>
      </c>
      <c r="Q203">
        <v>39</v>
      </c>
      <c r="S203">
        <v>2</v>
      </c>
      <c r="T203" t="s">
        <v>29</v>
      </c>
      <c r="U203" t="s">
        <v>24</v>
      </c>
      <c r="V203" t="s">
        <v>24</v>
      </c>
    </row>
    <row r="204" spans="1:22" x14ac:dyDescent="0.25">
      <c r="A204" t="s">
        <v>817</v>
      </c>
      <c r="B204">
        <v>-7.2990000000000004</v>
      </c>
      <c r="C204">
        <v>122.363</v>
      </c>
      <c r="D204">
        <v>494.5</v>
      </c>
      <c r="E204">
        <v>4.5999999999999996</v>
      </c>
      <c r="F204" t="s">
        <v>23</v>
      </c>
      <c r="J204">
        <v>0.4</v>
      </c>
      <c r="K204" t="s">
        <v>24</v>
      </c>
      <c r="L204" t="s">
        <v>818</v>
      </c>
      <c r="M204" t="s">
        <v>819</v>
      </c>
      <c r="N204" t="s">
        <v>820</v>
      </c>
      <c r="O204" t="s">
        <v>28</v>
      </c>
      <c r="Q204">
        <v>21.5</v>
      </c>
      <c r="S204">
        <v>9</v>
      </c>
      <c r="T204" t="s">
        <v>29</v>
      </c>
      <c r="U204" t="s">
        <v>24</v>
      </c>
      <c r="V204" t="s">
        <v>24</v>
      </c>
    </row>
    <row r="205" spans="1:22" x14ac:dyDescent="0.25">
      <c r="A205" t="s">
        <v>821</v>
      </c>
      <c r="B205">
        <v>-5.8650000000000002</v>
      </c>
      <c r="C205">
        <v>125.163</v>
      </c>
      <c r="D205">
        <v>583.1</v>
      </c>
      <c r="E205">
        <v>4.5999999999999996</v>
      </c>
      <c r="F205" t="s">
        <v>23</v>
      </c>
      <c r="J205">
        <v>0.7</v>
      </c>
      <c r="K205" t="s">
        <v>24</v>
      </c>
      <c r="L205" t="s">
        <v>822</v>
      </c>
      <c r="M205" t="s">
        <v>823</v>
      </c>
      <c r="N205" t="s">
        <v>37</v>
      </c>
      <c r="O205" t="s">
        <v>28</v>
      </c>
      <c r="Q205">
        <v>9.4</v>
      </c>
      <c r="S205">
        <v>5</v>
      </c>
      <c r="T205" t="s">
        <v>29</v>
      </c>
      <c r="U205" t="s">
        <v>24</v>
      </c>
      <c r="V205" t="s">
        <v>24</v>
      </c>
    </row>
    <row r="206" spans="1:22" x14ac:dyDescent="0.25">
      <c r="A206" t="s">
        <v>824</v>
      </c>
      <c r="B206">
        <v>-7.08</v>
      </c>
      <c r="C206">
        <v>125.117</v>
      </c>
      <c r="D206">
        <v>520.6</v>
      </c>
      <c r="E206">
        <v>4.9000000000000004</v>
      </c>
      <c r="F206" t="s">
        <v>23</v>
      </c>
      <c r="J206">
        <v>0.6</v>
      </c>
      <c r="K206" t="s">
        <v>24</v>
      </c>
      <c r="L206" t="s">
        <v>825</v>
      </c>
      <c r="M206" t="s">
        <v>826</v>
      </c>
      <c r="N206" t="s">
        <v>827</v>
      </c>
      <c r="O206" t="s">
        <v>28</v>
      </c>
      <c r="Q206">
        <v>34.6</v>
      </c>
      <c r="S206">
        <v>7</v>
      </c>
      <c r="T206" t="s">
        <v>29</v>
      </c>
      <c r="U206" t="s">
        <v>24</v>
      </c>
      <c r="V206" t="s">
        <v>24</v>
      </c>
    </row>
    <row r="207" spans="1:22" x14ac:dyDescent="0.25">
      <c r="A207" t="s">
        <v>828</v>
      </c>
      <c r="B207">
        <v>-6.992</v>
      </c>
      <c r="C207">
        <v>123.66500000000001</v>
      </c>
      <c r="D207">
        <v>630.6</v>
      </c>
      <c r="E207">
        <v>5.2</v>
      </c>
      <c r="F207" t="s">
        <v>318</v>
      </c>
      <c r="J207">
        <v>1</v>
      </c>
      <c r="K207" t="s">
        <v>24</v>
      </c>
      <c r="L207" t="s">
        <v>829</v>
      </c>
      <c r="M207" t="s">
        <v>830</v>
      </c>
      <c r="N207" t="s">
        <v>831</v>
      </c>
      <c r="O207" t="s">
        <v>28</v>
      </c>
      <c r="Q207">
        <v>3</v>
      </c>
      <c r="T207" t="s">
        <v>29</v>
      </c>
      <c r="U207" t="s">
        <v>24</v>
      </c>
      <c r="V207" t="s">
        <v>322</v>
      </c>
    </row>
    <row r="208" spans="1:22" x14ac:dyDescent="0.25">
      <c r="A208" t="s">
        <v>832</v>
      </c>
      <c r="B208">
        <v>-6.992</v>
      </c>
      <c r="C208">
        <v>124.84099999999999</v>
      </c>
      <c r="D208">
        <v>572.29999999999995</v>
      </c>
      <c r="E208">
        <v>4.5999999999999996</v>
      </c>
      <c r="F208" t="s">
        <v>23</v>
      </c>
      <c r="J208">
        <v>0.9</v>
      </c>
      <c r="K208" t="s">
        <v>24</v>
      </c>
      <c r="L208" t="s">
        <v>833</v>
      </c>
      <c r="M208" t="s">
        <v>834</v>
      </c>
      <c r="N208" t="s">
        <v>835</v>
      </c>
      <c r="O208" t="s">
        <v>28</v>
      </c>
      <c r="Q208">
        <v>8.6</v>
      </c>
      <c r="S208">
        <v>11</v>
      </c>
      <c r="T208" t="s">
        <v>29</v>
      </c>
      <c r="U208" t="s">
        <v>24</v>
      </c>
      <c r="V208" t="s">
        <v>24</v>
      </c>
    </row>
    <row r="209" spans="1:22" x14ac:dyDescent="0.25">
      <c r="A209" t="s">
        <v>836</v>
      </c>
      <c r="B209">
        <v>-7.0810000000000004</v>
      </c>
      <c r="C209">
        <v>123.667</v>
      </c>
      <c r="D209">
        <v>637.70000000000005</v>
      </c>
      <c r="E209">
        <v>5.6</v>
      </c>
      <c r="F209" t="s">
        <v>318</v>
      </c>
      <c r="J209">
        <v>0.9</v>
      </c>
      <c r="K209" t="s">
        <v>24</v>
      </c>
      <c r="L209" t="s">
        <v>837</v>
      </c>
      <c r="M209" t="s">
        <v>838</v>
      </c>
      <c r="N209" t="s">
        <v>839</v>
      </c>
      <c r="O209" t="s">
        <v>28</v>
      </c>
      <c r="Q209">
        <v>2.2999999999999998</v>
      </c>
      <c r="T209" t="s">
        <v>29</v>
      </c>
      <c r="U209" t="s">
        <v>24</v>
      </c>
      <c r="V209" t="s">
        <v>322</v>
      </c>
    </row>
    <row r="210" spans="1:22" x14ac:dyDescent="0.25">
      <c r="A210" t="s">
        <v>840</v>
      </c>
      <c r="B210">
        <v>-6.9059999999999997</v>
      </c>
      <c r="C210">
        <v>123.47799999999999</v>
      </c>
      <c r="D210">
        <v>610.1</v>
      </c>
      <c r="E210">
        <v>4.9000000000000004</v>
      </c>
      <c r="F210" t="s">
        <v>23</v>
      </c>
      <c r="J210">
        <v>0.8</v>
      </c>
      <c r="K210" t="s">
        <v>24</v>
      </c>
      <c r="L210" t="s">
        <v>841</v>
      </c>
      <c r="M210" t="s">
        <v>842</v>
      </c>
      <c r="N210" t="s">
        <v>843</v>
      </c>
      <c r="O210" t="s">
        <v>28</v>
      </c>
      <c r="Q210">
        <v>3.7</v>
      </c>
      <c r="S210">
        <v>14</v>
      </c>
      <c r="T210" t="s">
        <v>29</v>
      </c>
      <c r="U210" t="s">
        <v>24</v>
      </c>
      <c r="V210" t="s">
        <v>24</v>
      </c>
    </row>
    <row r="211" spans="1:22" x14ac:dyDescent="0.25">
      <c r="A211" t="s">
        <v>844</v>
      </c>
      <c r="B211">
        <v>-7.26</v>
      </c>
      <c r="C211">
        <v>120.30800000000001</v>
      </c>
      <c r="D211">
        <v>600</v>
      </c>
      <c r="E211">
        <v>4.7</v>
      </c>
      <c r="F211" t="s">
        <v>23</v>
      </c>
      <c r="J211">
        <v>0.5</v>
      </c>
      <c r="K211" t="s">
        <v>24</v>
      </c>
      <c r="L211" t="s">
        <v>845</v>
      </c>
      <c r="M211" t="s">
        <v>846</v>
      </c>
      <c r="N211" t="s">
        <v>27</v>
      </c>
      <c r="O211" t="s">
        <v>28</v>
      </c>
      <c r="S211">
        <v>9</v>
      </c>
      <c r="T211" t="s">
        <v>29</v>
      </c>
      <c r="U211" t="s">
        <v>24</v>
      </c>
      <c r="V211" t="s">
        <v>24</v>
      </c>
    </row>
    <row r="212" spans="1:22" x14ac:dyDescent="0.25">
      <c r="A212" t="s">
        <v>847</v>
      </c>
      <c r="B212">
        <v>-7.0709999999999997</v>
      </c>
      <c r="C212">
        <v>123.28400000000001</v>
      </c>
      <c r="D212">
        <v>610.1</v>
      </c>
      <c r="E212">
        <v>4.7</v>
      </c>
      <c r="F212" t="s">
        <v>23</v>
      </c>
      <c r="J212">
        <v>0.9</v>
      </c>
      <c r="K212" t="s">
        <v>24</v>
      </c>
      <c r="L212" t="s">
        <v>848</v>
      </c>
      <c r="M212" t="s">
        <v>849</v>
      </c>
      <c r="N212" t="s">
        <v>850</v>
      </c>
      <c r="O212" t="s">
        <v>28</v>
      </c>
      <c r="Q212">
        <v>8.1999999999999993</v>
      </c>
      <c r="S212">
        <v>26</v>
      </c>
      <c r="T212" t="s">
        <v>29</v>
      </c>
      <c r="U212" t="s">
        <v>24</v>
      </c>
      <c r="V212" t="s">
        <v>24</v>
      </c>
    </row>
    <row r="213" spans="1:22" x14ac:dyDescent="0.25">
      <c r="A213" t="s">
        <v>851</v>
      </c>
      <c r="B213">
        <v>-6.9219999999999997</v>
      </c>
      <c r="C213">
        <v>125.256</v>
      </c>
      <c r="D213">
        <v>523.70000000000005</v>
      </c>
      <c r="E213">
        <v>5.2</v>
      </c>
      <c r="F213" t="s">
        <v>23</v>
      </c>
      <c r="J213">
        <v>1</v>
      </c>
      <c r="K213" t="s">
        <v>24</v>
      </c>
      <c r="L213" t="s">
        <v>852</v>
      </c>
      <c r="M213" t="s">
        <v>853</v>
      </c>
      <c r="N213" t="s">
        <v>854</v>
      </c>
      <c r="O213" t="s">
        <v>28</v>
      </c>
      <c r="Q213">
        <v>2.5</v>
      </c>
      <c r="S213">
        <v>51</v>
      </c>
      <c r="T213" t="s">
        <v>29</v>
      </c>
      <c r="U213" t="s">
        <v>24</v>
      </c>
      <c r="V213" t="s">
        <v>24</v>
      </c>
    </row>
    <row r="214" spans="1:22" x14ac:dyDescent="0.25">
      <c r="A214" t="s">
        <v>855</v>
      </c>
      <c r="B214">
        <v>-7.0250000000000004</v>
      </c>
      <c r="C214">
        <v>124.795</v>
      </c>
      <c r="D214">
        <v>516</v>
      </c>
      <c r="E214">
        <v>4.8</v>
      </c>
      <c r="F214" t="s">
        <v>23</v>
      </c>
      <c r="J214">
        <v>0.9</v>
      </c>
      <c r="K214" t="s">
        <v>24</v>
      </c>
      <c r="L214" t="s">
        <v>856</v>
      </c>
      <c r="M214" t="s">
        <v>857</v>
      </c>
      <c r="N214" t="s">
        <v>41</v>
      </c>
      <c r="O214" t="s">
        <v>28</v>
      </c>
      <c r="Q214">
        <v>8.8000000000000007</v>
      </c>
      <c r="S214">
        <v>14</v>
      </c>
      <c r="T214" t="s">
        <v>29</v>
      </c>
      <c r="U214" t="s">
        <v>24</v>
      </c>
      <c r="V214" t="s">
        <v>24</v>
      </c>
    </row>
    <row r="215" spans="1:22" x14ac:dyDescent="0.25">
      <c r="A215" t="s">
        <v>858</v>
      </c>
      <c r="B215">
        <v>-6.9450000000000003</v>
      </c>
      <c r="C215">
        <v>125.194</v>
      </c>
      <c r="D215">
        <v>532.1</v>
      </c>
      <c r="E215">
        <v>5.8</v>
      </c>
      <c r="F215" t="s">
        <v>23</v>
      </c>
      <c r="J215">
        <v>0.9</v>
      </c>
      <c r="K215" t="s">
        <v>24</v>
      </c>
      <c r="L215" t="s">
        <v>859</v>
      </c>
      <c r="M215" t="s">
        <v>860</v>
      </c>
      <c r="N215" t="s">
        <v>861</v>
      </c>
      <c r="O215" t="s">
        <v>28</v>
      </c>
      <c r="S215">
        <v>81</v>
      </c>
      <c r="T215" t="s">
        <v>29</v>
      </c>
      <c r="U215" t="s">
        <v>24</v>
      </c>
      <c r="V215" t="s">
        <v>24</v>
      </c>
    </row>
    <row r="216" spans="1:22" x14ac:dyDescent="0.25">
      <c r="A216" t="s">
        <v>862</v>
      </c>
      <c r="B216">
        <v>-7.1369999999999996</v>
      </c>
      <c r="C216">
        <v>122.589</v>
      </c>
      <c r="D216">
        <v>587.29999999999995</v>
      </c>
      <c r="E216">
        <v>7.9</v>
      </c>
      <c r="F216" t="s">
        <v>863</v>
      </c>
      <c r="J216">
        <v>1.2</v>
      </c>
      <c r="K216" t="s">
        <v>24</v>
      </c>
      <c r="L216" t="s">
        <v>864</v>
      </c>
      <c r="M216" t="s">
        <v>865</v>
      </c>
      <c r="N216" t="s">
        <v>866</v>
      </c>
      <c r="O216" t="s">
        <v>28</v>
      </c>
      <c r="T216" t="s">
        <v>29</v>
      </c>
      <c r="U216" t="s">
        <v>24</v>
      </c>
      <c r="V216" t="s">
        <v>322</v>
      </c>
    </row>
    <row r="217" spans="1:22" x14ac:dyDescent="0.25">
      <c r="A217" t="s">
        <v>867</v>
      </c>
      <c r="B217">
        <v>-7.4450000000000003</v>
      </c>
      <c r="C217">
        <v>122.691</v>
      </c>
      <c r="D217">
        <v>600</v>
      </c>
      <c r="E217">
        <v>5.2</v>
      </c>
      <c r="F217" t="s">
        <v>23</v>
      </c>
      <c r="J217">
        <v>1</v>
      </c>
      <c r="K217" t="s">
        <v>24</v>
      </c>
      <c r="L217" t="s">
        <v>868</v>
      </c>
      <c r="M217" t="s">
        <v>869</v>
      </c>
      <c r="N217" t="s">
        <v>870</v>
      </c>
      <c r="O217" t="s">
        <v>28</v>
      </c>
      <c r="S217">
        <v>34</v>
      </c>
      <c r="T217" t="s">
        <v>29</v>
      </c>
      <c r="U217" t="s">
        <v>24</v>
      </c>
      <c r="V217" t="s">
        <v>24</v>
      </c>
    </row>
    <row r="218" spans="1:22" x14ac:dyDescent="0.25">
      <c r="A218" t="s">
        <v>871</v>
      </c>
      <c r="B218">
        <v>-7.2389999999999999</v>
      </c>
      <c r="C218">
        <v>122.209</v>
      </c>
      <c r="D218">
        <v>600</v>
      </c>
      <c r="E218">
        <v>4.7</v>
      </c>
      <c r="F218" t="s">
        <v>23</v>
      </c>
      <c r="J218">
        <v>1.1000000000000001</v>
      </c>
      <c r="K218" t="s">
        <v>24</v>
      </c>
      <c r="L218" t="s">
        <v>872</v>
      </c>
      <c r="M218" t="s">
        <v>873</v>
      </c>
      <c r="N218" t="s">
        <v>448</v>
      </c>
      <c r="O218" t="s">
        <v>28</v>
      </c>
      <c r="S218">
        <v>13</v>
      </c>
      <c r="T218" t="s">
        <v>29</v>
      </c>
      <c r="U218" t="s">
        <v>24</v>
      </c>
      <c r="V218" t="s">
        <v>24</v>
      </c>
    </row>
    <row r="219" spans="1:22" x14ac:dyDescent="0.25">
      <c r="A219" t="s">
        <v>874</v>
      </c>
      <c r="B219">
        <v>-7.1749999999999998</v>
      </c>
      <c r="C219">
        <v>122.92</v>
      </c>
      <c r="D219">
        <v>600</v>
      </c>
      <c r="E219">
        <v>4.5</v>
      </c>
      <c r="F219" t="s">
        <v>23</v>
      </c>
      <c r="J219">
        <v>1.1000000000000001</v>
      </c>
      <c r="K219" t="s">
        <v>24</v>
      </c>
      <c r="L219" t="s">
        <v>875</v>
      </c>
      <c r="M219" t="s">
        <v>876</v>
      </c>
      <c r="N219" t="s">
        <v>877</v>
      </c>
      <c r="O219" t="s">
        <v>28</v>
      </c>
      <c r="S219">
        <v>20</v>
      </c>
      <c r="T219" t="s">
        <v>29</v>
      </c>
      <c r="U219" t="s">
        <v>24</v>
      </c>
      <c r="V219" t="s">
        <v>24</v>
      </c>
    </row>
    <row r="220" spans="1:22" x14ac:dyDescent="0.25">
      <c r="A220" t="s">
        <v>878</v>
      </c>
      <c r="B220">
        <v>-7.3559999999999999</v>
      </c>
      <c r="C220">
        <v>122.297</v>
      </c>
      <c r="D220">
        <v>600</v>
      </c>
      <c r="E220">
        <v>4.5</v>
      </c>
      <c r="F220" t="s">
        <v>23</v>
      </c>
      <c r="J220">
        <v>1.3</v>
      </c>
      <c r="K220" t="s">
        <v>24</v>
      </c>
      <c r="L220" t="s">
        <v>879</v>
      </c>
      <c r="M220" t="s">
        <v>880</v>
      </c>
      <c r="N220" t="s">
        <v>881</v>
      </c>
      <c r="O220" t="s">
        <v>28</v>
      </c>
      <c r="S220">
        <v>17</v>
      </c>
      <c r="T220" t="s">
        <v>29</v>
      </c>
      <c r="U220" t="s">
        <v>24</v>
      </c>
      <c r="V220" t="s">
        <v>24</v>
      </c>
    </row>
    <row r="221" spans="1:22" x14ac:dyDescent="0.25">
      <c r="A221" t="s">
        <v>882</v>
      </c>
      <c r="B221">
        <v>-7.2480000000000002</v>
      </c>
      <c r="C221">
        <v>122.892</v>
      </c>
      <c r="D221">
        <v>600</v>
      </c>
      <c r="E221">
        <v>5.0999999999999996</v>
      </c>
      <c r="F221" t="s">
        <v>23</v>
      </c>
      <c r="J221">
        <v>1.2</v>
      </c>
      <c r="K221" t="s">
        <v>24</v>
      </c>
      <c r="L221" t="s">
        <v>883</v>
      </c>
      <c r="M221" t="s">
        <v>884</v>
      </c>
      <c r="N221" t="s">
        <v>866</v>
      </c>
      <c r="O221" t="s">
        <v>28</v>
      </c>
      <c r="S221">
        <v>32</v>
      </c>
      <c r="T221" t="s">
        <v>29</v>
      </c>
      <c r="U221" t="s">
        <v>24</v>
      </c>
      <c r="V221" t="s">
        <v>24</v>
      </c>
    </row>
    <row r="222" spans="1:22" x14ac:dyDescent="0.25">
      <c r="A222" t="s">
        <v>885</v>
      </c>
      <c r="B222">
        <v>-7.4240000000000004</v>
      </c>
      <c r="C222">
        <v>122.40300000000001</v>
      </c>
      <c r="D222">
        <v>600</v>
      </c>
      <c r="E222">
        <v>4.5999999999999996</v>
      </c>
      <c r="F222" t="s">
        <v>23</v>
      </c>
      <c r="J222">
        <v>1.1000000000000001</v>
      </c>
      <c r="K222" t="s">
        <v>24</v>
      </c>
      <c r="L222" t="s">
        <v>886</v>
      </c>
      <c r="M222" t="s">
        <v>887</v>
      </c>
      <c r="N222" t="s">
        <v>888</v>
      </c>
      <c r="O222" t="s">
        <v>28</v>
      </c>
      <c r="S222">
        <v>23</v>
      </c>
      <c r="T222" t="s">
        <v>29</v>
      </c>
      <c r="U222" t="s">
        <v>24</v>
      </c>
      <c r="V222" t="s">
        <v>24</v>
      </c>
    </row>
    <row r="223" spans="1:22" x14ac:dyDescent="0.25">
      <c r="A223" t="s">
        <v>889</v>
      </c>
      <c r="B223">
        <v>-7.1289999999999996</v>
      </c>
      <c r="C223">
        <v>122.34399999999999</v>
      </c>
      <c r="D223">
        <v>570.5</v>
      </c>
      <c r="E223">
        <v>5.3</v>
      </c>
      <c r="F223" t="s">
        <v>23</v>
      </c>
      <c r="J223">
        <v>1</v>
      </c>
      <c r="K223" t="s">
        <v>24</v>
      </c>
      <c r="L223" t="s">
        <v>890</v>
      </c>
      <c r="M223" t="s">
        <v>891</v>
      </c>
      <c r="N223" t="s">
        <v>892</v>
      </c>
      <c r="O223" t="s">
        <v>28</v>
      </c>
      <c r="Q223">
        <v>4.5</v>
      </c>
      <c r="S223">
        <v>34</v>
      </c>
      <c r="T223" t="s">
        <v>29</v>
      </c>
      <c r="U223" t="s">
        <v>24</v>
      </c>
      <c r="V223" t="s">
        <v>24</v>
      </c>
    </row>
    <row r="224" spans="1:22" x14ac:dyDescent="0.25">
      <c r="A224" t="s">
        <v>893</v>
      </c>
      <c r="B224">
        <v>-7.1479999999999997</v>
      </c>
      <c r="C224">
        <v>122.395</v>
      </c>
      <c r="D224">
        <v>600</v>
      </c>
      <c r="E224">
        <v>5.4</v>
      </c>
      <c r="F224" t="s">
        <v>863</v>
      </c>
      <c r="J224">
        <v>0.8</v>
      </c>
      <c r="K224" t="s">
        <v>24</v>
      </c>
      <c r="L224" t="s">
        <v>894</v>
      </c>
      <c r="M224" t="s">
        <v>895</v>
      </c>
      <c r="N224" t="s">
        <v>896</v>
      </c>
      <c r="O224" t="s">
        <v>28</v>
      </c>
      <c r="T224" t="s">
        <v>29</v>
      </c>
      <c r="U224" t="s">
        <v>24</v>
      </c>
      <c r="V224" t="s">
        <v>322</v>
      </c>
    </row>
    <row r="225" spans="1:22" x14ac:dyDescent="0.25">
      <c r="A225" t="s">
        <v>897</v>
      </c>
      <c r="B225">
        <v>-6.5419999999999998</v>
      </c>
      <c r="C225">
        <v>123.163</v>
      </c>
      <c r="D225">
        <v>550</v>
      </c>
      <c r="E225">
        <v>5</v>
      </c>
      <c r="F225" t="s">
        <v>23</v>
      </c>
      <c r="J225">
        <v>0.7</v>
      </c>
      <c r="K225" t="s">
        <v>24</v>
      </c>
      <c r="L225" t="s">
        <v>898</v>
      </c>
      <c r="M225" t="s">
        <v>899</v>
      </c>
      <c r="N225" t="s">
        <v>900</v>
      </c>
      <c r="O225" t="s">
        <v>28</v>
      </c>
      <c r="S225">
        <v>32</v>
      </c>
      <c r="T225" t="s">
        <v>29</v>
      </c>
      <c r="U225" t="s">
        <v>24</v>
      </c>
      <c r="V225" t="s">
        <v>24</v>
      </c>
    </row>
    <row r="226" spans="1:22" x14ac:dyDescent="0.25">
      <c r="A226" t="s">
        <v>901</v>
      </c>
      <c r="B226">
        <v>-7.1239999999999997</v>
      </c>
      <c r="C226">
        <v>123.27500000000001</v>
      </c>
      <c r="D226">
        <v>595.70000000000005</v>
      </c>
      <c r="E226">
        <v>6</v>
      </c>
      <c r="F226" t="s">
        <v>734</v>
      </c>
      <c r="J226">
        <v>0.8</v>
      </c>
      <c r="K226" t="s">
        <v>24</v>
      </c>
      <c r="L226" t="s">
        <v>902</v>
      </c>
      <c r="M226" t="s">
        <v>903</v>
      </c>
      <c r="N226" t="s">
        <v>904</v>
      </c>
      <c r="O226" t="s">
        <v>28</v>
      </c>
      <c r="T226" t="s">
        <v>29</v>
      </c>
      <c r="U226" t="s">
        <v>24</v>
      </c>
      <c r="V226" t="s">
        <v>24</v>
      </c>
    </row>
    <row r="227" spans="1:22" x14ac:dyDescent="0.25">
      <c r="A227" t="s">
        <v>905</v>
      </c>
      <c r="B227">
        <v>-7.2110000000000003</v>
      </c>
      <c r="C227">
        <v>124.142</v>
      </c>
      <c r="D227">
        <v>565.4</v>
      </c>
      <c r="E227">
        <v>4.7</v>
      </c>
      <c r="F227" t="s">
        <v>23</v>
      </c>
      <c r="J227">
        <v>0.68</v>
      </c>
      <c r="K227" t="s">
        <v>24</v>
      </c>
      <c r="L227" t="s">
        <v>906</v>
      </c>
      <c r="M227" t="s">
        <v>907</v>
      </c>
      <c r="N227" t="s">
        <v>908</v>
      </c>
      <c r="O227" t="s">
        <v>28</v>
      </c>
      <c r="Q227">
        <v>21.8</v>
      </c>
      <c r="S227">
        <v>4</v>
      </c>
      <c r="T227" t="s">
        <v>29</v>
      </c>
      <c r="U227" t="s">
        <v>24</v>
      </c>
      <c r="V227" t="s">
        <v>24</v>
      </c>
    </row>
    <row r="228" spans="1:22" x14ac:dyDescent="0.25">
      <c r="A228" t="s">
        <v>909</v>
      </c>
      <c r="B228">
        <v>-7.2320000000000002</v>
      </c>
      <c r="C228">
        <v>122.979</v>
      </c>
      <c r="D228">
        <v>600</v>
      </c>
      <c r="E228">
        <v>4.8</v>
      </c>
      <c r="F228" t="s">
        <v>23</v>
      </c>
      <c r="J228">
        <v>1.03</v>
      </c>
      <c r="K228" t="s">
        <v>24</v>
      </c>
      <c r="L228" t="s">
        <v>910</v>
      </c>
      <c r="M228" t="s">
        <v>911</v>
      </c>
      <c r="N228" t="s">
        <v>912</v>
      </c>
      <c r="O228" t="s">
        <v>28</v>
      </c>
      <c r="S228">
        <v>13</v>
      </c>
      <c r="T228" t="s">
        <v>29</v>
      </c>
      <c r="U228" t="s">
        <v>24</v>
      </c>
      <c r="V228" t="s">
        <v>24</v>
      </c>
    </row>
    <row r="229" spans="1:22" x14ac:dyDescent="0.25">
      <c r="A229" t="s">
        <v>913</v>
      </c>
      <c r="B229">
        <v>-7.0309999999999997</v>
      </c>
      <c r="C229">
        <v>124.117</v>
      </c>
      <c r="D229">
        <v>500</v>
      </c>
      <c r="E229">
        <v>4.8</v>
      </c>
      <c r="F229" t="s">
        <v>23</v>
      </c>
      <c r="J229">
        <v>1.26</v>
      </c>
      <c r="K229" t="s">
        <v>24</v>
      </c>
      <c r="L229" t="s">
        <v>914</v>
      </c>
      <c r="M229" t="s">
        <v>915</v>
      </c>
      <c r="N229" t="s">
        <v>916</v>
      </c>
      <c r="O229" t="s">
        <v>28</v>
      </c>
      <c r="S229">
        <v>9</v>
      </c>
      <c r="T229" t="s">
        <v>29</v>
      </c>
      <c r="U229" t="s">
        <v>24</v>
      </c>
      <c r="V229" t="s">
        <v>24</v>
      </c>
    </row>
    <row r="230" spans="1:22" x14ac:dyDescent="0.25">
      <c r="A230" t="s">
        <v>917</v>
      </c>
      <c r="B230">
        <v>-7.1159999999999997</v>
      </c>
      <c r="C230">
        <v>122.61199999999999</v>
      </c>
      <c r="D230">
        <v>578.5</v>
      </c>
      <c r="E230">
        <v>5.3</v>
      </c>
      <c r="F230" t="s">
        <v>863</v>
      </c>
      <c r="J230">
        <v>0.95</v>
      </c>
      <c r="K230" t="s">
        <v>24</v>
      </c>
      <c r="L230" t="s">
        <v>918</v>
      </c>
      <c r="M230" t="s">
        <v>919</v>
      </c>
      <c r="N230" t="s">
        <v>920</v>
      </c>
      <c r="O230" t="s">
        <v>28</v>
      </c>
      <c r="T230" t="s">
        <v>29</v>
      </c>
      <c r="U230" t="s">
        <v>24</v>
      </c>
      <c r="V230" t="s">
        <v>322</v>
      </c>
    </row>
    <row r="231" spans="1:22" x14ac:dyDescent="0.25">
      <c r="A231" t="s">
        <v>921</v>
      </c>
      <c r="B231">
        <v>-7.032</v>
      </c>
      <c r="C231">
        <v>125.274</v>
      </c>
      <c r="D231">
        <v>550</v>
      </c>
      <c r="E231">
        <v>4.9000000000000004</v>
      </c>
      <c r="F231" t="s">
        <v>23</v>
      </c>
      <c r="J231">
        <v>1.1299999999999999</v>
      </c>
      <c r="K231" t="s">
        <v>24</v>
      </c>
      <c r="L231" t="s">
        <v>922</v>
      </c>
      <c r="M231" t="s">
        <v>923</v>
      </c>
      <c r="N231" t="s">
        <v>924</v>
      </c>
      <c r="O231" t="s">
        <v>28</v>
      </c>
      <c r="Q231">
        <v>8</v>
      </c>
      <c r="S231">
        <v>12</v>
      </c>
      <c r="T231" t="s">
        <v>29</v>
      </c>
      <c r="U231" t="s">
        <v>24</v>
      </c>
      <c r="V231" t="s">
        <v>24</v>
      </c>
    </row>
    <row r="232" spans="1:22" x14ac:dyDescent="0.25">
      <c r="A232" t="s">
        <v>925</v>
      </c>
      <c r="B232">
        <v>-7.492</v>
      </c>
      <c r="C232">
        <v>120.902</v>
      </c>
      <c r="D232">
        <v>600</v>
      </c>
      <c r="E232">
        <v>4.8</v>
      </c>
      <c r="F232" t="s">
        <v>23</v>
      </c>
      <c r="J232">
        <v>0.72</v>
      </c>
      <c r="K232" t="s">
        <v>24</v>
      </c>
      <c r="L232" t="s">
        <v>926</v>
      </c>
      <c r="M232" t="s">
        <v>927</v>
      </c>
      <c r="N232" t="s">
        <v>928</v>
      </c>
      <c r="O232" t="s">
        <v>28</v>
      </c>
      <c r="S232">
        <v>9</v>
      </c>
      <c r="T232" t="s">
        <v>29</v>
      </c>
      <c r="U232" t="s">
        <v>24</v>
      </c>
      <c r="V232" t="s">
        <v>24</v>
      </c>
    </row>
    <row r="233" spans="1:22" x14ac:dyDescent="0.25">
      <c r="A233" t="s">
        <v>929</v>
      </c>
      <c r="B233">
        <v>-7.2930000000000001</v>
      </c>
      <c r="C233">
        <v>120.968</v>
      </c>
      <c r="D233">
        <v>500</v>
      </c>
      <c r="E233">
        <v>4.8</v>
      </c>
      <c r="F233" t="s">
        <v>23</v>
      </c>
      <c r="J233">
        <v>1.07</v>
      </c>
      <c r="K233" t="s">
        <v>24</v>
      </c>
      <c r="L233" t="s">
        <v>930</v>
      </c>
      <c r="M233" t="s">
        <v>931</v>
      </c>
      <c r="N233" t="s">
        <v>932</v>
      </c>
      <c r="O233" t="s">
        <v>28</v>
      </c>
      <c r="S233">
        <v>6</v>
      </c>
      <c r="T233" t="s">
        <v>29</v>
      </c>
      <c r="U233" t="s">
        <v>24</v>
      </c>
      <c r="V233" t="s">
        <v>24</v>
      </c>
    </row>
    <row r="234" spans="1:22" x14ac:dyDescent="0.25">
      <c r="A234" t="s">
        <v>933</v>
      </c>
      <c r="B234">
        <v>-5.6719999999999997</v>
      </c>
      <c r="C234">
        <v>123.94199999999999</v>
      </c>
      <c r="D234">
        <v>33</v>
      </c>
      <c r="E234">
        <v>4.5999999999999996</v>
      </c>
      <c r="F234" t="s">
        <v>23</v>
      </c>
      <c r="J234">
        <v>1.26</v>
      </c>
      <c r="K234" t="s">
        <v>24</v>
      </c>
      <c r="L234" t="s">
        <v>934</v>
      </c>
      <c r="M234" t="s">
        <v>935</v>
      </c>
      <c r="N234" t="s">
        <v>936</v>
      </c>
      <c r="O234" t="s">
        <v>28</v>
      </c>
      <c r="S234">
        <v>10</v>
      </c>
      <c r="T234" t="s">
        <v>29</v>
      </c>
      <c r="U234" t="s">
        <v>24</v>
      </c>
      <c r="V234" t="s">
        <v>24</v>
      </c>
    </row>
    <row r="235" spans="1:22" x14ac:dyDescent="0.25">
      <c r="A235" t="s">
        <v>937</v>
      </c>
      <c r="B235">
        <v>-7.2009999999999996</v>
      </c>
      <c r="C235">
        <v>120.146</v>
      </c>
      <c r="D235">
        <v>350</v>
      </c>
      <c r="E235">
        <v>4.5</v>
      </c>
      <c r="F235" t="s">
        <v>23</v>
      </c>
      <c r="J235">
        <v>0.72</v>
      </c>
      <c r="K235" t="s">
        <v>24</v>
      </c>
      <c r="L235" t="s">
        <v>938</v>
      </c>
      <c r="M235" t="s">
        <v>939</v>
      </c>
      <c r="N235" t="s">
        <v>940</v>
      </c>
      <c r="O235" t="s">
        <v>28</v>
      </c>
      <c r="S235">
        <v>15</v>
      </c>
      <c r="T235" t="s">
        <v>29</v>
      </c>
      <c r="U235" t="s">
        <v>24</v>
      </c>
      <c r="V235" t="s">
        <v>24</v>
      </c>
    </row>
    <row r="236" spans="1:22" x14ac:dyDescent="0.25">
      <c r="A236" t="s">
        <v>941</v>
      </c>
      <c r="B236">
        <v>-7.375</v>
      </c>
      <c r="C236">
        <v>120.389</v>
      </c>
      <c r="D236">
        <v>100</v>
      </c>
      <c r="E236">
        <v>4.5</v>
      </c>
      <c r="F236" t="s">
        <v>23</v>
      </c>
      <c r="J236">
        <v>1.31</v>
      </c>
      <c r="K236" t="s">
        <v>24</v>
      </c>
      <c r="L236" t="s">
        <v>942</v>
      </c>
      <c r="M236" t="s">
        <v>943</v>
      </c>
      <c r="N236" t="s">
        <v>321</v>
      </c>
      <c r="O236" t="s">
        <v>28</v>
      </c>
      <c r="S236">
        <v>7</v>
      </c>
      <c r="T236" t="s">
        <v>29</v>
      </c>
      <c r="U236" t="s">
        <v>24</v>
      </c>
      <c r="V236" t="s">
        <v>24</v>
      </c>
    </row>
    <row r="237" spans="1:22" x14ac:dyDescent="0.25">
      <c r="A237" t="s">
        <v>944</v>
      </c>
      <c r="B237">
        <v>-7.3609999999999998</v>
      </c>
      <c r="C237">
        <v>120.27200000000001</v>
      </c>
      <c r="D237">
        <v>440.2</v>
      </c>
      <c r="E237">
        <v>4.5</v>
      </c>
      <c r="F237" t="s">
        <v>23</v>
      </c>
      <c r="J237">
        <v>0.89</v>
      </c>
      <c r="K237" t="s">
        <v>24</v>
      </c>
      <c r="L237" t="s">
        <v>945</v>
      </c>
      <c r="M237" t="s">
        <v>946</v>
      </c>
      <c r="N237" t="s">
        <v>947</v>
      </c>
      <c r="O237" t="s">
        <v>28</v>
      </c>
      <c r="Q237">
        <v>7.5</v>
      </c>
      <c r="S237">
        <v>8</v>
      </c>
      <c r="T237" t="s">
        <v>29</v>
      </c>
      <c r="U237" t="s">
        <v>24</v>
      </c>
      <c r="V237" t="s">
        <v>24</v>
      </c>
    </row>
    <row r="238" spans="1:22" x14ac:dyDescent="0.25">
      <c r="A238" t="s">
        <v>948</v>
      </c>
      <c r="B238">
        <v>-7.3090000000000002</v>
      </c>
      <c r="C238">
        <v>120.369</v>
      </c>
      <c r="D238">
        <v>586.5</v>
      </c>
      <c r="E238">
        <v>5.2</v>
      </c>
      <c r="F238" t="s">
        <v>23</v>
      </c>
      <c r="J238">
        <v>1.02</v>
      </c>
      <c r="K238" t="s">
        <v>24</v>
      </c>
      <c r="L238" t="s">
        <v>949</v>
      </c>
      <c r="M238" t="s">
        <v>950</v>
      </c>
      <c r="N238" t="s">
        <v>236</v>
      </c>
      <c r="O238" t="s">
        <v>28</v>
      </c>
      <c r="Q238">
        <v>4.7</v>
      </c>
      <c r="S238">
        <v>26</v>
      </c>
      <c r="T238" t="s">
        <v>29</v>
      </c>
      <c r="U238" t="s">
        <v>24</v>
      </c>
      <c r="V238" t="s">
        <v>24</v>
      </c>
    </row>
    <row r="239" spans="1:22" x14ac:dyDescent="0.25">
      <c r="A239" t="s">
        <v>951</v>
      </c>
      <c r="B239">
        <v>-7.1970000000000001</v>
      </c>
      <c r="C239">
        <v>120.342</v>
      </c>
      <c r="D239">
        <v>600</v>
      </c>
      <c r="E239">
        <v>4.9000000000000004</v>
      </c>
      <c r="F239" t="s">
        <v>23</v>
      </c>
      <c r="J239">
        <v>1.07</v>
      </c>
      <c r="K239" t="s">
        <v>24</v>
      </c>
      <c r="L239" t="s">
        <v>952</v>
      </c>
      <c r="M239" t="s">
        <v>953</v>
      </c>
      <c r="N239" t="s">
        <v>264</v>
      </c>
      <c r="O239" t="s">
        <v>28</v>
      </c>
      <c r="S239">
        <v>17</v>
      </c>
      <c r="T239" t="s">
        <v>29</v>
      </c>
      <c r="U239" t="s">
        <v>24</v>
      </c>
      <c r="V239" t="s">
        <v>24</v>
      </c>
    </row>
    <row r="240" spans="1:22" x14ac:dyDescent="0.25">
      <c r="A240" t="s">
        <v>954</v>
      </c>
      <c r="B240">
        <v>-5.8680000000000003</v>
      </c>
      <c r="C240">
        <v>125.093</v>
      </c>
      <c r="D240">
        <v>33</v>
      </c>
      <c r="E240">
        <v>4.7</v>
      </c>
      <c r="F240" t="s">
        <v>23</v>
      </c>
      <c r="J240">
        <v>1.19</v>
      </c>
      <c r="K240" t="s">
        <v>24</v>
      </c>
      <c r="L240" t="s">
        <v>955</v>
      </c>
      <c r="M240" t="s">
        <v>956</v>
      </c>
      <c r="N240" t="s">
        <v>37</v>
      </c>
      <c r="O240" t="s">
        <v>28</v>
      </c>
      <c r="S240">
        <v>14</v>
      </c>
      <c r="T240" t="s">
        <v>29</v>
      </c>
      <c r="U240" t="s">
        <v>24</v>
      </c>
      <c r="V240" t="s">
        <v>24</v>
      </c>
    </row>
    <row r="241" spans="1:22" x14ac:dyDescent="0.25">
      <c r="A241" t="s">
        <v>957</v>
      </c>
      <c r="B241">
        <v>-7.4560000000000004</v>
      </c>
      <c r="C241">
        <v>119.94499999999999</v>
      </c>
      <c r="D241">
        <v>450</v>
      </c>
      <c r="E241">
        <v>4.5999999999999996</v>
      </c>
      <c r="F241" t="s">
        <v>23</v>
      </c>
      <c r="J241">
        <v>0.84</v>
      </c>
      <c r="K241" t="s">
        <v>24</v>
      </c>
      <c r="L241" t="s">
        <v>958</v>
      </c>
      <c r="M241" t="s">
        <v>959</v>
      </c>
      <c r="N241" t="s">
        <v>960</v>
      </c>
      <c r="O241" t="s">
        <v>28</v>
      </c>
      <c r="S241">
        <v>6</v>
      </c>
      <c r="T241" t="s">
        <v>29</v>
      </c>
      <c r="U241" t="s">
        <v>24</v>
      </c>
      <c r="V241" t="s">
        <v>24</v>
      </c>
    </row>
    <row r="242" spans="1:22" x14ac:dyDescent="0.25">
      <c r="A242" t="s">
        <v>961</v>
      </c>
      <c r="B242">
        <v>-7.2229999999999999</v>
      </c>
      <c r="C242">
        <v>120.29600000000001</v>
      </c>
      <c r="D242">
        <v>585</v>
      </c>
      <c r="E242">
        <v>5.0999999999999996</v>
      </c>
      <c r="F242" t="s">
        <v>23</v>
      </c>
      <c r="J242">
        <v>1.06</v>
      </c>
      <c r="K242" t="s">
        <v>24</v>
      </c>
      <c r="L242" t="s">
        <v>962</v>
      </c>
      <c r="M242" t="s">
        <v>963</v>
      </c>
      <c r="N242" t="s">
        <v>964</v>
      </c>
      <c r="O242" t="s">
        <v>28</v>
      </c>
      <c r="Q242">
        <v>3.9</v>
      </c>
      <c r="S242">
        <v>26</v>
      </c>
      <c r="T242" t="s">
        <v>29</v>
      </c>
      <c r="U242" t="s">
        <v>24</v>
      </c>
      <c r="V242" t="s">
        <v>24</v>
      </c>
    </row>
    <row r="243" spans="1:22" x14ac:dyDescent="0.25">
      <c r="A243" t="s">
        <v>965</v>
      </c>
      <c r="B243">
        <v>-6.5540000000000003</v>
      </c>
      <c r="C243">
        <v>124.995</v>
      </c>
      <c r="D243">
        <v>589.70000000000005</v>
      </c>
      <c r="E243">
        <v>4.9000000000000004</v>
      </c>
      <c r="F243" t="s">
        <v>23</v>
      </c>
      <c r="J243">
        <v>0.83</v>
      </c>
      <c r="K243" t="s">
        <v>24</v>
      </c>
      <c r="L243" t="s">
        <v>966</v>
      </c>
      <c r="M243" t="s">
        <v>967</v>
      </c>
      <c r="N243" t="s">
        <v>968</v>
      </c>
      <c r="O243" t="s">
        <v>28</v>
      </c>
      <c r="Q243">
        <v>5.2</v>
      </c>
      <c r="S243">
        <v>22</v>
      </c>
      <c r="T243" t="s">
        <v>29</v>
      </c>
      <c r="U243" t="s">
        <v>24</v>
      </c>
      <c r="V243" t="s">
        <v>24</v>
      </c>
    </row>
    <row r="244" spans="1:22" x14ac:dyDescent="0.25">
      <c r="A244" t="s">
        <v>969</v>
      </c>
      <c r="B244">
        <v>-5.6379999999999999</v>
      </c>
      <c r="C244">
        <v>122.545</v>
      </c>
      <c r="D244">
        <v>33</v>
      </c>
      <c r="E244">
        <v>4.5999999999999996</v>
      </c>
      <c r="F244" t="s">
        <v>23</v>
      </c>
      <c r="J244">
        <v>1.08</v>
      </c>
      <c r="K244" t="s">
        <v>24</v>
      </c>
      <c r="L244" t="s">
        <v>970</v>
      </c>
      <c r="M244" t="s">
        <v>971</v>
      </c>
      <c r="N244" t="s">
        <v>972</v>
      </c>
      <c r="O244" t="s">
        <v>28</v>
      </c>
      <c r="S244">
        <v>5</v>
      </c>
      <c r="T244" t="s">
        <v>29</v>
      </c>
      <c r="U244" t="s">
        <v>24</v>
      </c>
      <c r="V244" t="s">
        <v>24</v>
      </c>
    </row>
    <row r="245" spans="1:22" x14ac:dyDescent="0.25">
      <c r="A245" t="s">
        <v>973</v>
      </c>
      <c r="B245">
        <v>-7.1360000000000001</v>
      </c>
      <c r="C245">
        <v>124.77</v>
      </c>
      <c r="D245">
        <v>565.29999999999995</v>
      </c>
      <c r="E245">
        <v>4.5</v>
      </c>
      <c r="F245" t="s">
        <v>23</v>
      </c>
      <c r="J245">
        <v>0.91</v>
      </c>
      <c r="K245" t="s">
        <v>24</v>
      </c>
      <c r="L245" t="s">
        <v>974</v>
      </c>
      <c r="M245" t="s">
        <v>975</v>
      </c>
      <c r="N245" t="s">
        <v>976</v>
      </c>
      <c r="O245" t="s">
        <v>28</v>
      </c>
      <c r="Q245">
        <v>12.9</v>
      </c>
      <c r="S245">
        <v>10</v>
      </c>
      <c r="T245" t="s">
        <v>29</v>
      </c>
      <c r="U245" t="s">
        <v>24</v>
      </c>
      <c r="V245" t="s">
        <v>24</v>
      </c>
    </row>
    <row r="246" spans="1:22" x14ac:dyDescent="0.25">
      <c r="A246" t="s">
        <v>977</v>
      </c>
      <c r="B246">
        <v>-7.202</v>
      </c>
      <c r="C246">
        <v>120.401</v>
      </c>
      <c r="D246">
        <v>600</v>
      </c>
      <c r="E246">
        <v>5.0999999999999996</v>
      </c>
      <c r="F246" t="s">
        <v>23</v>
      </c>
      <c r="J246">
        <v>0.98</v>
      </c>
      <c r="K246" t="s">
        <v>24</v>
      </c>
      <c r="L246" t="s">
        <v>978</v>
      </c>
      <c r="M246" t="s">
        <v>979</v>
      </c>
      <c r="N246" t="s">
        <v>980</v>
      </c>
      <c r="O246" t="s">
        <v>28</v>
      </c>
      <c r="S246">
        <v>22</v>
      </c>
      <c r="T246" t="s">
        <v>29</v>
      </c>
      <c r="U246" t="s">
        <v>24</v>
      </c>
      <c r="V246" t="s">
        <v>24</v>
      </c>
    </row>
    <row r="247" spans="1:22" x14ac:dyDescent="0.25">
      <c r="A247" t="s">
        <v>981</v>
      </c>
      <c r="B247">
        <v>-6.4059999999999997</v>
      </c>
      <c r="C247">
        <v>123.569</v>
      </c>
      <c r="D247">
        <v>33</v>
      </c>
      <c r="E247">
        <v>5.0999999999999996</v>
      </c>
      <c r="F247" t="s">
        <v>863</v>
      </c>
      <c r="J247">
        <v>0.97</v>
      </c>
      <c r="K247" t="s">
        <v>24</v>
      </c>
      <c r="L247" t="s">
        <v>982</v>
      </c>
      <c r="M247" t="s">
        <v>983</v>
      </c>
      <c r="N247" t="s">
        <v>984</v>
      </c>
      <c r="O247" t="s">
        <v>28</v>
      </c>
      <c r="T247" t="s">
        <v>29</v>
      </c>
      <c r="U247" t="s">
        <v>24</v>
      </c>
      <c r="V247" t="s">
        <v>322</v>
      </c>
    </row>
    <row r="248" spans="1:22" x14ac:dyDescent="0.25">
      <c r="A248" t="s">
        <v>985</v>
      </c>
      <c r="B248">
        <v>-5.2089999999999996</v>
      </c>
      <c r="C248">
        <v>123.154</v>
      </c>
      <c r="D248">
        <v>33</v>
      </c>
      <c r="E248">
        <v>4.5</v>
      </c>
      <c r="F248" t="s">
        <v>23</v>
      </c>
      <c r="J248">
        <v>0.95</v>
      </c>
      <c r="K248" t="s">
        <v>24</v>
      </c>
      <c r="L248" t="s">
        <v>986</v>
      </c>
      <c r="M248" t="s">
        <v>987</v>
      </c>
      <c r="N248" t="s">
        <v>37</v>
      </c>
      <c r="O248" t="s">
        <v>28</v>
      </c>
      <c r="S248">
        <v>5</v>
      </c>
      <c r="T248" t="s">
        <v>29</v>
      </c>
      <c r="U248" t="s">
        <v>24</v>
      </c>
      <c r="V248" t="s">
        <v>24</v>
      </c>
    </row>
    <row r="249" spans="1:22" x14ac:dyDescent="0.25">
      <c r="A249" t="s">
        <v>988</v>
      </c>
      <c r="B249">
        <v>-7.101</v>
      </c>
      <c r="C249">
        <v>120.172</v>
      </c>
      <c r="D249">
        <v>593.79999999999995</v>
      </c>
      <c r="E249">
        <v>4.7</v>
      </c>
      <c r="F249" t="s">
        <v>23</v>
      </c>
      <c r="J249">
        <v>0.71</v>
      </c>
      <c r="K249" t="s">
        <v>24</v>
      </c>
      <c r="L249" t="s">
        <v>989</v>
      </c>
      <c r="M249" t="s">
        <v>990</v>
      </c>
      <c r="N249" t="s">
        <v>991</v>
      </c>
      <c r="O249" t="s">
        <v>28</v>
      </c>
      <c r="Q249">
        <v>7</v>
      </c>
      <c r="S249">
        <v>12</v>
      </c>
      <c r="T249" t="s">
        <v>29</v>
      </c>
      <c r="U249" t="s">
        <v>24</v>
      </c>
      <c r="V249" t="s">
        <v>24</v>
      </c>
    </row>
    <row r="250" spans="1:22" x14ac:dyDescent="0.25">
      <c r="A250" t="s">
        <v>992</v>
      </c>
      <c r="B250">
        <v>-7.2169999999999996</v>
      </c>
      <c r="C250">
        <v>120.733</v>
      </c>
      <c r="D250">
        <v>508.6</v>
      </c>
      <c r="E250">
        <v>4.5</v>
      </c>
      <c r="F250" t="s">
        <v>23</v>
      </c>
      <c r="J250">
        <v>0.79</v>
      </c>
      <c r="K250" t="s">
        <v>24</v>
      </c>
      <c r="L250" t="s">
        <v>993</v>
      </c>
      <c r="M250" t="s">
        <v>994</v>
      </c>
      <c r="N250" t="s">
        <v>995</v>
      </c>
      <c r="O250" t="s">
        <v>28</v>
      </c>
      <c r="Q250">
        <v>6.6</v>
      </c>
      <c r="S250">
        <v>4</v>
      </c>
      <c r="T250" t="s">
        <v>29</v>
      </c>
      <c r="U250" t="s">
        <v>24</v>
      </c>
      <c r="V250" t="s">
        <v>24</v>
      </c>
    </row>
    <row r="251" spans="1:22" x14ac:dyDescent="0.25">
      <c r="A251" t="s">
        <v>996</v>
      </c>
      <c r="B251">
        <v>-7.19</v>
      </c>
      <c r="C251">
        <v>120.429</v>
      </c>
      <c r="D251">
        <v>593.70000000000005</v>
      </c>
      <c r="E251">
        <v>4.5999999999999996</v>
      </c>
      <c r="F251" t="s">
        <v>23</v>
      </c>
      <c r="J251">
        <v>0.8</v>
      </c>
      <c r="K251" t="s">
        <v>24</v>
      </c>
      <c r="L251" t="s">
        <v>997</v>
      </c>
      <c r="M251" t="s">
        <v>998</v>
      </c>
      <c r="N251" t="s">
        <v>999</v>
      </c>
      <c r="O251" t="s">
        <v>28</v>
      </c>
      <c r="Q251">
        <v>13</v>
      </c>
      <c r="S251">
        <v>7</v>
      </c>
      <c r="T251" t="s">
        <v>29</v>
      </c>
      <c r="U251" t="s">
        <v>24</v>
      </c>
      <c r="V251" t="s">
        <v>24</v>
      </c>
    </row>
    <row r="252" spans="1:22" x14ac:dyDescent="0.25">
      <c r="A252" t="s">
        <v>1000</v>
      </c>
      <c r="B252">
        <v>-6.8029999999999999</v>
      </c>
      <c r="C252">
        <v>125.152</v>
      </c>
      <c r="D252">
        <v>542.70000000000005</v>
      </c>
      <c r="E252">
        <v>4.7</v>
      </c>
      <c r="F252" t="s">
        <v>23</v>
      </c>
      <c r="J252">
        <v>0.89</v>
      </c>
      <c r="K252" t="s">
        <v>24</v>
      </c>
      <c r="L252" t="s">
        <v>1001</v>
      </c>
      <c r="M252" t="s">
        <v>1002</v>
      </c>
      <c r="N252" t="s">
        <v>1003</v>
      </c>
      <c r="O252" t="s">
        <v>28</v>
      </c>
      <c r="Q252">
        <v>6.7</v>
      </c>
      <c r="S252">
        <v>6</v>
      </c>
      <c r="T252" t="s">
        <v>29</v>
      </c>
      <c r="U252" t="s">
        <v>24</v>
      </c>
      <c r="V252" t="s">
        <v>24</v>
      </c>
    </row>
    <row r="253" spans="1:22" x14ac:dyDescent="0.25">
      <c r="A253" t="s">
        <v>1004</v>
      </c>
      <c r="B253">
        <v>-7.4770000000000003</v>
      </c>
      <c r="C253">
        <v>123.402</v>
      </c>
      <c r="D253">
        <v>379.5</v>
      </c>
      <c r="E253">
        <v>5.4</v>
      </c>
      <c r="F253" t="s">
        <v>863</v>
      </c>
      <c r="J253">
        <v>0.8</v>
      </c>
      <c r="K253" t="s">
        <v>24</v>
      </c>
      <c r="L253" t="s">
        <v>1005</v>
      </c>
      <c r="M253" t="s">
        <v>1006</v>
      </c>
      <c r="N253" t="s">
        <v>571</v>
      </c>
      <c r="O253" t="s">
        <v>28</v>
      </c>
      <c r="Q253">
        <v>5.4</v>
      </c>
      <c r="T253" t="s">
        <v>29</v>
      </c>
      <c r="U253" t="s">
        <v>24</v>
      </c>
      <c r="V253" t="s">
        <v>322</v>
      </c>
    </row>
    <row r="254" spans="1:22" x14ac:dyDescent="0.25">
      <c r="A254" t="s">
        <v>1007</v>
      </c>
      <c r="B254">
        <v>-4.5519999999999996</v>
      </c>
      <c r="C254">
        <v>123.13</v>
      </c>
      <c r="D254">
        <v>33</v>
      </c>
      <c r="E254">
        <v>4.5999999999999996</v>
      </c>
      <c r="F254" t="s">
        <v>23</v>
      </c>
      <c r="J254">
        <v>1.35</v>
      </c>
      <c r="K254" t="s">
        <v>24</v>
      </c>
      <c r="L254" t="s">
        <v>1008</v>
      </c>
      <c r="M254" t="s">
        <v>1009</v>
      </c>
      <c r="N254" t="s">
        <v>1010</v>
      </c>
      <c r="O254" t="s">
        <v>28</v>
      </c>
      <c r="S254">
        <v>9</v>
      </c>
      <c r="T254" t="s">
        <v>29</v>
      </c>
      <c r="U254" t="s">
        <v>24</v>
      </c>
      <c r="V254" t="s">
        <v>24</v>
      </c>
    </row>
    <row r="255" spans="1:22" x14ac:dyDescent="0.25">
      <c r="A255" t="s">
        <v>1011</v>
      </c>
      <c r="B255">
        <v>-6.976</v>
      </c>
      <c r="C255">
        <v>124.65300000000001</v>
      </c>
      <c r="D255">
        <v>469.3</v>
      </c>
      <c r="E255">
        <v>4.5999999999999996</v>
      </c>
      <c r="F255" t="s">
        <v>23</v>
      </c>
      <c r="J255">
        <v>1.32</v>
      </c>
      <c r="K255" t="s">
        <v>24</v>
      </c>
      <c r="L255" t="s">
        <v>1012</v>
      </c>
      <c r="M255" t="s">
        <v>1013</v>
      </c>
      <c r="N255" t="s">
        <v>1014</v>
      </c>
      <c r="O255" t="s">
        <v>28</v>
      </c>
      <c r="Q255">
        <v>12.4</v>
      </c>
      <c r="S255">
        <v>5</v>
      </c>
      <c r="T255" t="s">
        <v>29</v>
      </c>
      <c r="U255" t="s">
        <v>24</v>
      </c>
      <c r="V255" t="s">
        <v>24</v>
      </c>
    </row>
    <row r="256" spans="1:22" x14ac:dyDescent="0.25">
      <c r="A256" t="s">
        <v>1015</v>
      </c>
      <c r="B256">
        <v>-7.3209999999999997</v>
      </c>
      <c r="C256">
        <v>120.44</v>
      </c>
      <c r="D256">
        <v>515</v>
      </c>
      <c r="E256">
        <v>4.7</v>
      </c>
      <c r="F256" t="s">
        <v>23</v>
      </c>
      <c r="J256">
        <v>0.93</v>
      </c>
      <c r="K256" t="s">
        <v>24</v>
      </c>
      <c r="L256" t="s">
        <v>1016</v>
      </c>
      <c r="M256" t="s">
        <v>1017</v>
      </c>
      <c r="N256" t="s">
        <v>1018</v>
      </c>
      <c r="O256" t="s">
        <v>28</v>
      </c>
      <c r="Q256">
        <v>5.8</v>
      </c>
      <c r="S256">
        <v>13</v>
      </c>
      <c r="T256" t="s">
        <v>29</v>
      </c>
      <c r="U256" t="s">
        <v>24</v>
      </c>
      <c r="V256" t="s">
        <v>24</v>
      </c>
    </row>
    <row r="257" spans="1:22" x14ac:dyDescent="0.25">
      <c r="A257" t="s">
        <v>1019</v>
      </c>
      <c r="B257">
        <v>-7.1379999999999999</v>
      </c>
      <c r="C257">
        <v>124.98699999999999</v>
      </c>
      <c r="D257">
        <v>516.29999999999995</v>
      </c>
      <c r="E257">
        <v>4.8</v>
      </c>
      <c r="F257" t="s">
        <v>23</v>
      </c>
      <c r="J257">
        <v>1.04</v>
      </c>
      <c r="K257" t="s">
        <v>24</v>
      </c>
      <c r="L257" t="s">
        <v>1020</v>
      </c>
      <c r="M257" t="s">
        <v>1021</v>
      </c>
      <c r="N257" t="s">
        <v>1022</v>
      </c>
      <c r="O257" t="s">
        <v>28</v>
      </c>
      <c r="Q257">
        <v>7.7</v>
      </c>
      <c r="S257">
        <v>7</v>
      </c>
      <c r="T257" t="s">
        <v>29</v>
      </c>
      <c r="U257" t="s">
        <v>24</v>
      </c>
      <c r="V257" t="s">
        <v>24</v>
      </c>
    </row>
    <row r="258" spans="1:22" x14ac:dyDescent="0.25">
      <c r="A258" t="s">
        <v>1023</v>
      </c>
      <c r="B258">
        <v>-7.3410000000000002</v>
      </c>
      <c r="C258">
        <v>123.919</v>
      </c>
      <c r="D258">
        <v>558.5</v>
      </c>
      <c r="E258">
        <v>4.7</v>
      </c>
      <c r="F258" t="s">
        <v>23</v>
      </c>
      <c r="J258">
        <v>0.49</v>
      </c>
      <c r="K258" t="s">
        <v>24</v>
      </c>
      <c r="L258" t="s">
        <v>1024</v>
      </c>
      <c r="M258" t="s">
        <v>1025</v>
      </c>
      <c r="N258" t="s">
        <v>1026</v>
      </c>
      <c r="O258" t="s">
        <v>28</v>
      </c>
      <c r="Q258">
        <v>31.3</v>
      </c>
      <c r="S258">
        <v>5</v>
      </c>
      <c r="T258" t="s">
        <v>29</v>
      </c>
      <c r="U258" t="s">
        <v>24</v>
      </c>
      <c r="V258" t="s">
        <v>24</v>
      </c>
    </row>
    <row r="259" spans="1:22" x14ac:dyDescent="0.25">
      <c r="A259" t="s">
        <v>1027</v>
      </c>
      <c r="B259">
        <v>-7.4850000000000003</v>
      </c>
      <c r="C259">
        <v>122.678</v>
      </c>
      <c r="D259">
        <v>574.9</v>
      </c>
      <c r="E259">
        <v>5.5</v>
      </c>
      <c r="F259" t="s">
        <v>863</v>
      </c>
      <c r="J259">
        <v>1</v>
      </c>
      <c r="K259" t="s">
        <v>24</v>
      </c>
      <c r="L259" t="s">
        <v>1028</v>
      </c>
      <c r="M259" t="s">
        <v>1029</v>
      </c>
      <c r="N259" t="s">
        <v>1030</v>
      </c>
      <c r="O259" t="s">
        <v>28</v>
      </c>
      <c r="T259" t="s">
        <v>29</v>
      </c>
      <c r="U259" t="s">
        <v>24</v>
      </c>
      <c r="V259" t="s">
        <v>322</v>
      </c>
    </row>
    <row r="260" spans="1:22" x14ac:dyDescent="0.25">
      <c r="A260" t="s">
        <v>1031</v>
      </c>
      <c r="B260">
        <v>-7.33</v>
      </c>
      <c r="C260">
        <v>123.68899999999999</v>
      </c>
      <c r="D260">
        <v>600</v>
      </c>
      <c r="E260">
        <v>4.7</v>
      </c>
      <c r="F260" t="s">
        <v>23</v>
      </c>
      <c r="G260">
        <v>33</v>
      </c>
      <c r="J260">
        <v>1.1000000000000001</v>
      </c>
      <c r="K260" t="s">
        <v>24</v>
      </c>
      <c r="L260" t="s">
        <v>1032</v>
      </c>
      <c r="M260" t="s">
        <v>1033</v>
      </c>
      <c r="N260" t="s">
        <v>304</v>
      </c>
      <c r="O260" t="s">
        <v>28</v>
      </c>
      <c r="Q260">
        <v>7.9</v>
      </c>
      <c r="S260">
        <v>13</v>
      </c>
      <c r="T260" t="s">
        <v>29</v>
      </c>
      <c r="U260" t="s">
        <v>24</v>
      </c>
      <c r="V260" t="s">
        <v>24</v>
      </c>
    </row>
    <row r="261" spans="1:22" x14ac:dyDescent="0.25">
      <c r="A261" t="s">
        <v>1034</v>
      </c>
      <c r="B261">
        <v>-7.0179999999999998</v>
      </c>
      <c r="C261">
        <v>123.357</v>
      </c>
      <c r="D261">
        <v>648.5</v>
      </c>
      <c r="E261">
        <v>6.5</v>
      </c>
      <c r="F261" t="s">
        <v>863</v>
      </c>
      <c r="G261">
        <v>517</v>
      </c>
      <c r="J261">
        <v>0.86</v>
      </c>
      <c r="K261" t="s">
        <v>24</v>
      </c>
      <c r="L261" t="s">
        <v>1035</v>
      </c>
      <c r="M261" t="s">
        <v>1036</v>
      </c>
      <c r="N261" t="s">
        <v>1037</v>
      </c>
      <c r="O261" t="s">
        <v>28</v>
      </c>
      <c r="T261" t="s">
        <v>29</v>
      </c>
      <c r="U261" t="s">
        <v>24</v>
      </c>
      <c r="V261" t="s">
        <v>322</v>
      </c>
    </row>
    <row r="262" spans="1:22" x14ac:dyDescent="0.25">
      <c r="A262" t="s">
        <v>1038</v>
      </c>
      <c r="B262">
        <v>-7.1420000000000003</v>
      </c>
      <c r="C262">
        <v>123.434</v>
      </c>
      <c r="D262">
        <v>675.5</v>
      </c>
      <c r="E262">
        <v>4.5999999999999996</v>
      </c>
      <c r="F262" t="s">
        <v>23</v>
      </c>
      <c r="G262">
        <v>51</v>
      </c>
      <c r="J262">
        <v>0.89</v>
      </c>
      <c r="K262" t="s">
        <v>24</v>
      </c>
      <c r="L262" t="s">
        <v>1039</v>
      </c>
      <c r="M262" t="s">
        <v>1040</v>
      </c>
      <c r="N262" t="s">
        <v>37</v>
      </c>
      <c r="O262" t="s">
        <v>28</v>
      </c>
      <c r="Q262">
        <v>5.3</v>
      </c>
      <c r="S262">
        <v>4</v>
      </c>
      <c r="T262" t="s">
        <v>29</v>
      </c>
      <c r="U262" t="s">
        <v>24</v>
      </c>
      <c r="V262" t="s">
        <v>24</v>
      </c>
    </row>
    <row r="263" spans="1:22" x14ac:dyDescent="0.25">
      <c r="A263" t="s">
        <v>1041</v>
      </c>
      <c r="B263">
        <v>-7.1130000000000004</v>
      </c>
      <c r="C263">
        <v>124.639</v>
      </c>
      <c r="D263">
        <v>580.1</v>
      </c>
      <c r="E263">
        <v>4.5</v>
      </c>
      <c r="F263" t="s">
        <v>23</v>
      </c>
      <c r="G263">
        <v>50</v>
      </c>
      <c r="J263">
        <v>0.82</v>
      </c>
      <c r="K263" t="s">
        <v>24</v>
      </c>
      <c r="L263" t="s">
        <v>1042</v>
      </c>
      <c r="M263" t="s">
        <v>1043</v>
      </c>
      <c r="N263" t="s">
        <v>1044</v>
      </c>
      <c r="O263" t="s">
        <v>28</v>
      </c>
      <c r="Q263">
        <v>5.6</v>
      </c>
      <c r="S263">
        <v>12</v>
      </c>
      <c r="T263" t="s">
        <v>29</v>
      </c>
      <c r="U263" t="s">
        <v>24</v>
      </c>
      <c r="V263" t="s">
        <v>24</v>
      </c>
    </row>
    <row r="264" spans="1:22" x14ac:dyDescent="0.25">
      <c r="A264" t="s">
        <v>1045</v>
      </c>
      <c r="B264">
        <v>-5.7869999999999999</v>
      </c>
      <c r="C264">
        <v>123.309</v>
      </c>
      <c r="D264">
        <v>33</v>
      </c>
      <c r="E264">
        <v>5.2</v>
      </c>
      <c r="F264" t="s">
        <v>863</v>
      </c>
      <c r="G264">
        <v>84</v>
      </c>
      <c r="J264">
        <v>1.1100000000000001</v>
      </c>
      <c r="K264" t="s">
        <v>24</v>
      </c>
      <c r="L264" t="s">
        <v>1046</v>
      </c>
      <c r="M264" t="s">
        <v>1047</v>
      </c>
      <c r="N264" t="s">
        <v>1048</v>
      </c>
      <c r="O264" t="s">
        <v>28</v>
      </c>
      <c r="T264" t="s">
        <v>29</v>
      </c>
      <c r="U264" t="s">
        <v>24</v>
      </c>
      <c r="V264" t="s">
        <v>322</v>
      </c>
    </row>
    <row r="265" spans="1:22" x14ac:dyDescent="0.25">
      <c r="A265" t="s">
        <v>1049</v>
      </c>
      <c r="B265">
        <v>-6.0309999999999997</v>
      </c>
      <c r="C265">
        <v>122.836</v>
      </c>
      <c r="D265">
        <v>10</v>
      </c>
      <c r="E265">
        <v>4.8</v>
      </c>
      <c r="F265" t="s">
        <v>23</v>
      </c>
      <c r="G265">
        <v>32</v>
      </c>
      <c r="J265">
        <v>1.18</v>
      </c>
      <c r="K265" t="s">
        <v>24</v>
      </c>
      <c r="L265" t="s">
        <v>1050</v>
      </c>
      <c r="M265" t="s">
        <v>1051</v>
      </c>
      <c r="N265" t="s">
        <v>1052</v>
      </c>
      <c r="O265" t="s">
        <v>28</v>
      </c>
      <c r="S265">
        <v>11</v>
      </c>
      <c r="T265" t="s">
        <v>29</v>
      </c>
      <c r="U265" t="s">
        <v>24</v>
      </c>
      <c r="V265" t="s">
        <v>24</v>
      </c>
    </row>
    <row r="266" spans="1:22" x14ac:dyDescent="0.25">
      <c r="A266" t="s">
        <v>1053</v>
      </c>
      <c r="B266">
        <v>-7.3220000000000001</v>
      </c>
      <c r="C266">
        <v>120.65900000000001</v>
      </c>
      <c r="D266">
        <v>602.1</v>
      </c>
      <c r="E266">
        <v>4.5999999999999996</v>
      </c>
      <c r="F266" t="s">
        <v>23</v>
      </c>
      <c r="G266">
        <v>98</v>
      </c>
      <c r="J266">
        <v>0.91</v>
      </c>
      <c r="K266" t="s">
        <v>24</v>
      </c>
      <c r="L266" t="s">
        <v>1054</v>
      </c>
      <c r="M266" t="s">
        <v>1055</v>
      </c>
      <c r="N266" t="s">
        <v>1056</v>
      </c>
      <c r="O266" t="s">
        <v>28</v>
      </c>
      <c r="Q266">
        <v>3.7</v>
      </c>
      <c r="S266">
        <v>18</v>
      </c>
      <c r="T266" t="s">
        <v>29</v>
      </c>
      <c r="U266" t="s">
        <v>24</v>
      </c>
      <c r="V266" t="s">
        <v>24</v>
      </c>
    </row>
    <row r="267" spans="1:22" x14ac:dyDescent="0.25">
      <c r="A267" t="s">
        <v>1057</v>
      </c>
      <c r="B267">
        <v>-7.1130000000000004</v>
      </c>
      <c r="C267">
        <v>124.82599999999999</v>
      </c>
      <c r="D267">
        <v>558.79999999999995</v>
      </c>
      <c r="E267">
        <v>4.8</v>
      </c>
      <c r="F267" t="s">
        <v>23</v>
      </c>
      <c r="G267">
        <v>65</v>
      </c>
      <c r="J267">
        <v>0.93</v>
      </c>
      <c r="K267" t="s">
        <v>24</v>
      </c>
      <c r="L267" t="s">
        <v>1058</v>
      </c>
      <c r="M267" t="s">
        <v>1059</v>
      </c>
      <c r="N267" t="s">
        <v>976</v>
      </c>
      <c r="O267" t="s">
        <v>28</v>
      </c>
      <c r="Q267">
        <v>4.3</v>
      </c>
      <c r="S267">
        <v>13</v>
      </c>
      <c r="T267" t="s">
        <v>29</v>
      </c>
      <c r="U267" t="s">
        <v>24</v>
      </c>
      <c r="V267" t="s">
        <v>24</v>
      </c>
    </row>
    <row r="268" spans="1:22" x14ac:dyDescent="0.25">
      <c r="A268" t="s">
        <v>1060</v>
      </c>
      <c r="B268">
        <v>-7.27</v>
      </c>
      <c r="C268">
        <v>121.17100000000001</v>
      </c>
      <c r="D268">
        <v>541.5</v>
      </c>
      <c r="E268">
        <v>4.5</v>
      </c>
      <c r="F268" t="s">
        <v>23</v>
      </c>
      <c r="G268">
        <v>34</v>
      </c>
      <c r="J268">
        <v>1.04</v>
      </c>
      <c r="K268" t="s">
        <v>24</v>
      </c>
      <c r="L268" t="s">
        <v>1061</v>
      </c>
      <c r="M268" t="s">
        <v>1062</v>
      </c>
      <c r="N268" t="s">
        <v>1063</v>
      </c>
      <c r="O268" t="s">
        <v>28</v>
      </c>
      <c r="Q268">
        <v>8.6999999999999993</v>
      </c>
      <c r="S268">
        <v>8</v>
      </c>
      <c r="T268" t="s">
        <v>29</v>
      </c>
      <c r="U268" t="s">
        <v>24</v>
      </c>
      <c r="V268" t="s">
        <v>24</v>
      </c>
    </row>
    <row r="270" spans="1:22" x14ac:dyDescent="0.25">
      <c r="A270" t="s">
        <v>1064</v>
      </c>
      <c r="B270">
        <v>-6.819</v>
      </c>
      <c r="C270">
        <v>125.166</v>
      </c>
      <c r="D270">
        <v>569.9</v>
      </c>
      <c r="E270">
        <v>4.7</v>
      </c>
      <c r="F270" t="s">
        <v>23</v>
      </c>
      <c r="G270">
        <v>31</v>
      </c>
      <c r="J270">
        <v>0.93</v>
      </c>
      <c r="K270" t="s">
        <v>24</v>
      </c>
      <c r="L270" t="s">
        <v>1065</v>
      </c>
      <c r="M270" t="s">
        <v>1066</v>
      </c>
      <c r="N270" t="s">
        <v>260</v>
      </c>
      <c r="O270" t="s">
        <v>28</v>
      </c>
      <c r="Q270">
        <v>8.1</v>
      </c>
      <c r="S270">
        <v>4</v>
      </c>
      <c r="T270" t="s">
        <v>29</v>
      </c>
      <c r="U270" t="s">
        <v>24</v>
      </c>
      <c r="V270" t="s">
        <v>24</v>
      </c>
    </row>
    <row r="271" spans="1:22" x14ac:dyDescent="0.25">
      <c r="A271" t="s">
        <v>1067</v>
      </c>
      <c r="B271">
        <v>-7.3929999999999998</v>
      </c>
      <c r="C271">
        <v>122.565</v>
      </c>
      <c r="D271">
        <v>611.6</v>
      </c>
      <c r="E271">
        <v>4.5999999999999996</v>
      </c>
      <c r="F271" t="s">
        <v>23</v>
      </c>
      <c r="G271">
        <v>57</v>
      </c>
      <c r="J271">
        <v>0.87</v>
      </c>
      <c r="K271" t="s">
        <v>24</v>
      </c>
      <c r="L271" t="s">
        <v>1068</v>
      </c>
      <c r="M271" t="s">
        <v>1069</v>
      </c>
      <c r="N271" t="s">
        <v>1070</v>
      </c>
      <c r="O271" t="s">
        <v>28</v>
      </c>
      <c r="Q271">
        <v>4.9000000000000004</v>
      </c>
      <c r="S271">
        <v>19</v>
      </c>
      <c r="T271" t="s">
        <v>29</v>
      </c>
      <c r="U271" t="s">
        <v>24</v>
      </c>
      <c r="V271" t="s">
        <v>24</v>
      </c>
    </row>
    <row r="272" spans="1:22" x14ac:dyDescent="0.25">
      <c r="A272" t="s">
        <v>1071</v>
      </c>
      <c r="B272">
        <v>-7.1849999999999996</v>
      </c>
      <c r="C272">
        <v>120.50700000000001</v>
      </c>
      <c r="D272">
        <v>599.29999999999995</v>
      </c>
      <c r="E272">
        <v>5.4</v>
      </c>
      <c r="F272" t="s">
        <v>863</v>
      </c>
      <c r="G272">
        <v>168</v>
      </c>
      <c r="J272">
        <v>0.85</v>
      </c>
      <c r="K272" t="s">
        <v>24</v>
      </c>
      <c r="L272" t="s">
        <v>1072</v>
      </c>
      <c r="M272" t="s">
        <v>1073</v>
      </c>
      <c r="N272" t="s">
        <v>995</v>
      </c>
      <c r="O272" t="s">
        <v>28</v>
      </c>
      <c r="Q272">
        <v>2.6</v>
      </c>
      <c r="T272" t="s">
        <v>29</v>
      </c>
      <c r="U272" t="s">
        <v>24</v>
      </c>
      <c r="V272" t="s">
        <v>322</v>
      </c>
    </row>
    <row r="273" spans="1:22" x14ac:dyDescent="0.25">
      <c r="A273" t="s">
        <v>1074</v>
      </c>
      <c r="B273">
        <v>-7.2430000000000003</v>
      </c>
      <c r="C273">
        <v>121.137</v>
      </c>
      <c r="D273">
        <v>534.4</v>
      </c>
      <c r="E273">
        <v>4.5999999999999996</v>
      </c>
      <c r="F273" t="s">
        <v>23</v>
      </c>
      <c r="G273">
        <v>33</v>
      </c>
      <c r="J273">
        <v>1.1499999999999999</v>
      </c>
      <c r="K273" t="s">
        <v>24</v>
      </c>
      <c r="L273" t="s">
        <v>1075</v>
      </c>
      <c r="M273" t="s">
        <v>1076</v>
      </c>
      <c r="N273" t="s">
        <v>334</v>
      </c>
      <c r="O273" t="s">
        <v>28</v>
      </c>
      <c r="Q273">
        <v>7</v>
      </c>
      <c r="S273">
        <v>9</v>
      </c>
      <c r="T273" t="s">
        <v>29</v>
      </c>
      <c r="U273" t="s">
        <v>24</v>
      </c>
      <c r="V273" t="s">
        <v>24</v>
      </c>
    </row>
    <row r="274" spans="1:22" x14ac:dyDescent="0.25">
      <c r="A274" t="s">
        <v>1077</v>
      </c>
      <c r="B274">
        <v>-6.9480000000000004</v>
      </c>
      <c r="C274">
        <v>124.825</v>
      </c>
      <c r="D274">
        <v>537.5</v>
      </c>
      <c r="E274">
        <v>5.4</v>
      </c>
      <c r="F274" t="s">
        <v>863</v>
      </c>
      <c r="G274">
        <v>185</v>
      </c>
      <c r="J274">
        <v>0.8</v>
      </c>
      <c r="K274" t="s">
        <v>24</v>
      </c>
      <c r="L274" t="s">
        <v>1078</v>
      </c>
      <c r="M274" t="s">
        <v>1079</v>
      </c>
      <c r="N274" t="s">
        <v>1080</v>
      </c>
      <c r="O274" t="s">
        <v>28</v>
      </c>
      <c r="T274" t="s">
        <v>29</v>
      </c>
      <c r="U274" t="s">
        <v>24</v>
      </c>
      <c r="V274" t="s">
        <v>322</v>
      </c>
    </row>
    <row r="275" spans="1:22" x14ac:dyDescent="0.25">
      <c r="A275" t="s">
        <v>1081</v>
      </c>
      <c r="B275">
        <v>-7.5149999999999997</v>
      </c>
      <c r="C275">
        <v>122.61799999999999</v>
      </c>
      <c r="D275">
        <v>500</v>
      </c>
      <c r="E275">
        <v>4.5999999999999996</v>
      </c>
      <c r="F275" t="s">
        <v>23</v>
      </c>
      <c r="G275">
        <v>11</v>
      </c>
      <c r="J275">
        <v>0.99</v>
      </c>
      <c r="K275" t="s">
        <v>24</v>
      </c>
      <c r="L275" t="s">
        <v>1082</v>
      </c>
      <c r="M275" t="s">
        <v>1083</v>
      </c>
      <c r="N275" t="s">
        <v>1084</v>
      </c>
      <c r="O275" t="s">
        <v>28</v>
      </c>
      <c r="S275">
        <v>2</v>
      </c>
      <c r="T275" t="s">
        <v>29</v>
      </c>
      <c r="U275" t="s">
        <v>24</v>
      </c>
      <c r="V275" t="s">
        <v>24</v>
      </c>
    </row>
    <row r="276" spans="1:22" x14ac:dyDescent="0.25">
      <c r="A276" t="s">
        <v>1085</v>
      </c>
      <c r="B276">
        <v>-5.0830000000000002</v>
      </c>
      <c r="C276">
        <v>123.364</v>
      </c>
      <c r="D276">
        <v>33</v>
      </c>
      <c r="E276">
        <v>4.5999999999999996</v>
      </c>
      <c r="F276" t="s">
        <v>23</v>
      </c>
      <c r="G276">
        <v>22</v>
      </c>
      <c r="J276">
        <v>0.84</v>
      </c>
      <c r="K276" t="s">
        <v>24</v>
      </c>
      <c r="L276" t="s">
        <v>1086</v>
      </c>
      <c r="M276" t="s">
        <v>1087</v>
      </c>
      <c r="N276" t="s">
        <v>1088</v>
      </c>
      <c r="O276" t="s">
        <v>28</v>
      </c>
      <c r="S276">
        <v>11</v>
      </c>
      <c r="T276" t="s">
        <v>29</v>
      </c>
      <c r="U276" t="s">
        <v>24</v>
      </c>
      <c r="V276" t="s">
        <v>24</v>
      </c>
    </row>
    <row r="277" spans="1:22" x14ac:dyDescent="0.25">
      <c r="A277" t="s">
        <v>1089</v>
      </c>
      <c r="B277">
        <v>-7.3520000000000003</v>
      </c>
      <c r="C277">
        <v>120.71899999999999</v>
      </c>
      <c r="D277">
        <v>33</v>
      </c>
      <c r="E277">
        <v>5.4</v>
      </c>
      <c r="F277" t="s">
        <v>863</v>
      </c>
      <c r="G277">
        <v>114</v>
      </c>
      <c r="J277">
        <v>0.96</v>
      </c>
      <c r="K277" t="s">
        <v>24</v>
      </c>
      <c r="L277" t="s">
        <v>1090</v>
      </c>
      <c r="M277" t="s">
        <v>1091</v>
      </c>
      <c r="N277" t="s">
        <v>1092</v>
      </c>
      <c r="O277" t="s">
        <v>28</v>
      </c>
      <c r="T277" t="s">
        <v>29</v>
      </c>
      <c r="U277" t="s">
        <v>24</v>
      </c>
      <c r="V277" t="s">
        <v>322</v>
      </c>
    </row>
    <row r="278" spans="1:22" x14ac:dyDescent="0.25">
      <c r="A278" t="s">
        <v>1093</v>
      </c>
      <c r="B278">
        <v>-6.9219999999999997</v>
      </c>
      <c r="C278">
        <v>125.099</v>
      </c>
      <c r="D278">
        <v>514.1</v>
      </c>
      <c r="E278">
        <v>4.5999999999999996</v>
      </c>
      <c r="F278" t="s">
        <v>23</v>
      </c>
      <c r="G278">
        <v>28</v>
      </c>
      <c r="J278">
        <v>0.78</v>
      </c>
      <c r="K278" t="s">
        <v>24</v>
      </c>
      <c r="L278" t="s">
        <v>1094</v>
      </c>
      <c r="M278" t="s">
        <v>1095</v>
      </c>
      <c r="N278" t="s">
        <v>1096</v>
      </c>
      <c r="O278" t="s">
        <v>28</v>
      </c>
      <c r="Q278">
        <v>17.600000000000001</v>
      </c>
      <c r="S278">
        <v>9</v>
      </c>
      <c r="T278" t="s">
        <v>29</v>
      </c>
      <c r="U278" t="s">
        <v>24</v>
      </c>
      <c r="V278" t="s">
        <v>24</v>
      </c>
    </row>
    <row r="279" spans="1:22" x14ac:dyDescent="0.25">
      <c r="A279" t="s">
        <v>1097</v>
      </c>
      <c r="B279">
        <v>-6.9580000000000002</v>
      </c>
      <c r="C279">
        <v>125.17</v>
      </c>
      <c r="D279">
        <v>553.20000000000005</v>
      </c>
      <c r="E279">
        <v>5</v>
      </c>
      <c r="F279" t="s">
        <v>23</v>
      </c>
      <c r="G279">
        <v>131</v>
      </c>
      <c r="J279">
        <v>0.89</v>
      </c>
      <c r="K279" t="s">
        <v>24</v>
      </c>
      <c r="L279" t="s">
        <v>1098</v>
      </c>
      <c r="M279" t="s">
        <v>1099</v>
      </c>
      <c r="N279" t="s">
        <v>1100</v>
      </c>
      <c r="O279" t="s">
        <v>28</v>
      </c>
      <c r="Q279">
        <v>3.2</v>
      </c>
      <c r="S279">
        <v>37</v>
      </c>
      <c r="T279" t="s">
        <v>29</v>
      </c>
      <c r="U279" t="s">
        <v>24</v>
      </c>
      <c r="V279" t="s">
        <v>24</v>
      </c>
    </row>
    <row r="280" spans="1:22" x14ac:dyDescent="0.25">
      <c r="A280" t="s">
        <v>1101</v>
      </c>
      <c r="B280">
        <v>-4.9359999999999999</v>
      </c>
      <c r="C280">
        <v>123.834</v>
      </c>
      <c r="D280">
        <v>33</v>
      </c>
      <c r="E280">
        <v>4.7</v>
      </c>
      <c r="F280" t="s">
        <v>23</v>
      </c>
      <c r="G280">
        <v>9</v>
      </c>
      <c r="J280">
        <v>1.05</v>
      </c>
      <c r="K280" t="s">
        <v>24</v>
      </c>
      <c r="L280" t="s">
        <v>1102</v>
      </c>
      <c r="M280" t="s">
        <v>1103</v>
      </c>
      <c r="N280" t="s">
        <v>1104</v>
      </c>
      <c r="O280" t="s">
        <v>28</v>
      </c>
      <c r="S280">
        <v>1</v>
      </c>
      <c r="T280" t="s">
        <v>29</v>
      </c>
      <c r="U280" t="s">
        <v>24</v>
      </c>
      <c r="V280" t="s">
        <v>24</v>
      </c>
    </row>
    <row r="281" spans="1:22" x14ac:dyDescent="0.25">
      <c r="A281" t="s">
        <v>1105</v>
      </c>
      <c r="B281">
        <v>-4.8499999999999996</v>
      </c>
      <c r="C281">
        <v>124.069</v>
      </c>
      <c r="D281">
        <v>33</v>
      </c>
      <c r="E281">
        <v>4.5</v>
      </c>
      <c r="F281" t="s">
        <v>23</v>
      </c>
      <c r="G281">
        <v>8</v>
      </c>
      <c r="J281">
        <v>1.4</v>
      </c>
      <c r="K281" t="s">
        <v>24</v>
      </c>
      <c r="L281" t="s">
        <v>1106</v>
      </c>
      <c r="M281" t="s">
        <v>1107</v>
      </c>
      <c r="N281" t="s">
        <v>1108</v>
      </c>
      <c r="O281" t="s">
        <v>28</v>
      </c>
      <c r="S281">
        <v>2</v>
      </c>
      <c r="T281" t="s">
        <v>29</v>
      </c>
      <c r="U281" t="s">
        <v>24</v>
      </c>
      <c r="V281" t="s">
        <v>24</v>
      </c>
    </row>
    <row r="282" spans="1:22" x14ac:dyDescent="0.25">
      <c r="A282" t="s">
        <v>1109</v>
      </c>
      <c r="B282">
        <v>-4.75</v>
      </c>
      <c r="C282">
        <v>123.904</v>
      </c>
      <c r="D282">
        <v>33</v>
      </c>
      <c r="E282">
        <v>4.8</v>
      </c>
      <c r="F282" t="s">
        <v>23</v>
      </c>
      <c r="G282">
        <v>38</v>
      </c>
      <c r="J282">
        <v>1.1100000000000001</v>
      </c>
      <c r="K282" t="s">
        <v>24</v>
      </c>
      <c r="L282" t="s">
        <v>1110</v>
      </c>
      <c r="M282" t="s">
        <v>1111</v>
      </c>
      <c r="N282" t="s">
        <v>1112</v>
      </c>
      <c r="O282" t="s">
        <v>28</v>
      </c>
      <c r="S282">
        <v>15</v>
      </c>
      <c r="T282" t="s">
        <v>29</v>
      </c>
      <c r="U282" t="s">
        <v>24</v>
      </c>
      <c r="V282" t="s">
        <v>24</v>
      </c>
    </row>
    <row r="283" spans="1:22" x14ac:dyDescent="0.25">
      <c r="A283" t="s">
        <v>1113</v>
      </c>
      <c r="B283">
        <v>-4.5579999999999998</v>
      </c>
      <c r="C283">
        <v>124.004</v>
      </c>
      <c r="D283">
        <v>33</v>
      </c>
      <c r="E283">
        <v>5.3</v>
      </c>
      <c r="F283" t="s">
        <v>863</v>
      </c>
      <c r="G283">
        <v>33</v>
      </c>
      <c r="J283">
        <v>0.88</v>
      </c>
      <c r="K283" t="s">
        <v>24</v>
      </c>
      <c r="L283" t="s">
        <v>1114</v>
      </c>
      <c r="M283" t="s">
        <v>1115</v>
      </c>
      <c r="N283" t="s">
        <v>1116</v>
      </c>
      <c r="O283" t="s">
        <v>28</v>
      </c>
      <c r="T283" t="s">
        <v>29</v>
      </c>
      <c r="U283" t="s">
        <v>24</v>
      </c>
      <c r="V283" t="s">
        <v>322</v>
      </c>
    </row>
    <row r="284" spans="1:22" x14ac:dyDescent="0.25">
      <c r="A284" t="s">
        <v>1117</v>
      </c>
      <c r="B284">
        <v>-5.8449999999999998</v>
      </c>
      <c r="C284">
        <v>124.107</v>
      </c>
      <c r="D284">
        <v>33</v>
      </c>
      <c r="E284">
        <v>4.8</v>
      </c>
      <c r="F284" t="s">
        <v>23</v>
      </c>
      <c r="G284">
        <v>22</v>
      </c>
      <c r="J284">
        <v>0.85</v>
      </c>
      <c r="K284" t="s">
        <v>24</v>
      </c>
      <c r="L284" t="s">
        <v>1118</v>
      </c>
      <c r="M284" t="s">
        <v>1119</v>
      </c>
      <c r="N284" t="s">
        <v>1120</v>
      </c>
      <c r="O284" t="s">
        <v>28</v>
      </c>
      <c r="S284">
        <v>9</v>
      </c>
      <c r="T284" t="s">
        <v>29</v>
      </c>
      <c r="U284" t="s">
        <v>24</v>
      </c>
      <c r="V284" t="s">
        <v>24</v>
      </c>
    </row>
    <row r="285" spans="1:22" x14ac:dyDescent="0.25">
      <c r="A285" t="s">
        <v>1121</v>
      </c>
      <c r="B285">
        <v>-4.5609999999999999</v>
      </c>
      <c r="C285">
        <v>123.88500000000001</v>
      </c>
      <c r="D285">
        <v>28.7</v>
      </c>
      <c r="E285">
        <v>5.5</v>
      </c>
      <c r="F285" t="s">
        <v>863</v>
      </c>
      <c r="G285">
        <v>41</v>
      </c>
      <c r="J285">
        <v>0.93</v>
      </c>
      <c r="K285" t="s">
        <v>24</v>
      </c>
      <c r="L285" t="s">
        <v>1122</v>
      </c>
      <c r="M285" t="s">
        <v>1123</v>
      </c>
      <c r="N285" t="s">
        <v>1124</v>
      </c>
      <c r="O285" t="s">
        <v>28</v>
      </c>
      <c r="T285" t="s">
        <v>29</v>
      </c>
      <c r="U285" t="s">
        <v>24</v>
      </c>
      <c r="V285" t="s">
        <v>322</v>
      </c>
    </row>
    <row r="286" spans="1:22" x14ac:dyDescent="0.25">
      <c r="A286" t="s">
        <v>1125</v>
      </c>
      <c r="B286">
        <v>-5.1589999999999998</v>
      </c>
      <c r="C286">
        <v>123.669</v>
      </c>
      <c r="D286">
        <v>24.3</v>
      </c>
      <c r="E286">
        <v>4.8</v>
      </c>
      <c r="F286" t="s">
        <v>23</v>
      </c>
      <c r="G286">
        <v>16</v>
      </c>
      <c r="J286">
        <v>1.27</v>
      </c>
      <c r="K286" t="s">
        <v>24</v>
      </c>
      <c r="L286" t="s">
        <v>1126</v>
      </c>
      <c r="M286" t="s">
        <v>1127</v>
      </c>
      <c r="N286" t="s">
        <v>1128</v>
      </c>
      <c r="O286" t="s">
        <v>28</v>
      </c>
      <c r="S286">
        <v>7</v>
      </c>
      <c r="T286" t="s">
        <v>29</v>
      </c>
      <c r="U286" t="s">
        <v>24</v>
      </c>
      <c r="V286" t="s">
        <v>24</v>
      </c>
    </row>
    <row r="287" spans="1:22" x14ac:dyDescent="0.25">
      <c r="A287" t="s">
        <v>1129</v>
      </c>
      <c r="B287">
        <v>-4.8550000000000004</v>
      </c>
      <c r="C287">
        <v>123.917</v>
      </c>
      <c r="D287">
        <v>33</v>
      </c>
      <c r="E287">
        <v>5.7</v>
      </c>
      <c r="F287" t="s">
        <v>863</v>
      </c>
      <c r="G287">
        <v>62</v>
      </c>
      <c r="J287">
        <v>1.36</v>
      </c>
      <c r="K287" t="s">
        <v>24</v>
      </c>
      <c r="L287" t="s">
        <v>1130</v>
      </c>
      <c r="M287" t="s">
        <v>1131</v>
      </c>
      <c r="N287" t="s">
        <v>1112</v>
      </c>
      <c r="O287" t="s">
        <v>28</v>
      </c>
      <c r="T287" t="s">
        <v>29</v>
      </c>
      <c r="U287" t="s">
        <v>24</v>
      </c>
      <c r="V287" t="s">
        <v>322</v>
      </c>
    </row>
    <row r="288" spans="1:22" x14ac:dyDescent="0.25">
      <c r="A288" t="s">
        <v>1132</v>
      </c>
      <c r="B288">
        <v>-5.0629999999999997</v>
      </c>
      <c r="C288">
        <v>123.992</v>
      </c>
      <c r="D288">
        <v>33</v>
      </c>
      <c r="E288">
        <v>4.7</v>
      </c>
      <c r="F288" t="s">
        <v>23</v>
      </c>
      <c r="G288">
        <v>7</v>
      </c>
      <c r="J288">
        <v>1.28</v>
      </c>
      <c r="K288" t="s">
        <v>24</v>
      </c>
      <c r="L288" t="s">
        <v>1133</v>
      </c>
      <c r="M288" t="s">
        <v>1134</v>
      </c>
      <c r="N288" t="s">
        <v>1135</v>
      </c>
      <c r="O288" t="s">
        <v>28</v>
      </c>
      <c r="S288">
        <v>1</v>
      </c>
      <c r="T288" t="s">
        <v>29</v>
      </c>
      <c r="U288" t="s">
        <v>24</v>
      </c>
      <c r="V288" t="s">
        <v>24</v>
      </c>
    </row>
    <row r="289" spans="1:22" x14ac:dyDescent="0.25">
      <c r="A289" t="s">
        <v>1136</v>
      </c>
      <c r="B289">
        <v>-6.09</v>
      </c>
      <c r="C289">
        <v>123.971</v>
      </c>
      <c r="D289">
        <v>33</v>
      </c>
      <c r="E289">
        <v>4.8</v>
      </c>
      <c r="F289" t="s">
        <v>23</v>
      </c>
      <c r="G289">
        <v>32</v>
      </c>
      <c r="J289">
        <v>0.67</v>
      </c>
      <c r="K289" t="s">
        <v>24</v>
      </c>
      <c r="L289" t="s">
        <v>1137</v>
      </c>
      <c r="M289" t="s">
        <v>1138</v>
      </c>
      <c r="N289" t="s">
        <v>1139</v>
      </c>
      <c r="O289" t="s">
        <v>28</v>
      </c>
      <c r="S289">
        <v>15</v>
      </c>
      <c r="T289" t="s">
        <v>29</v>
      </c>
      <c r="U289" t="s">
        <v>24</v>
      </c>
      <c r="V289" t="s">
        <v>24</v>
      </c>
    </row>
    <row r="290" spans="1:22" x14ac:dyDescent="0.25">
      <c r="A290" t="s">
        <v>1140</v>
      </c>
      <c r="B290">
        <v>-4.6280000000000001</v>
      </c>
      <c r="C290">
        <v>123.943</v>
      </c>
      <c r="D290">
        <v>33</v>
      </c>
      <c r="E290">
        <v>4.9000000000000004</v>
      </c>
      <c r="F290" t="s">
        <v>23</v>
      </c>
      <c r="G290">
        <v>8</v>
      </c>
      <c r="J290">
        <v>1.19</v>
      </c>
      <c r="K290" t="s">
        <v>24</v>
      </c>
      <c r="L290" t="s">
        <v>1141</v>
      </c>
      <c r="M290" t="s">
        <v>1142</v>
      </c>
      <c r="N290" t="s">
        <v>1143</v>
      </c>
      <c r="O290" t="s">
        <v>28</v>
      </c>
      <c r="S290">
        <v>3</v>
      </c>
      <c r="T290" t="s">
        <v>29</v>
      </c>
      <c r="U290" t="s">
        <v>24</v>
      </c>
      <c r="V290" t="s">
        <v>24</v>
      </c>
    </row>
    <row r="291" spans="1:22" x14ac:dyDescent="0.25">
      <c r="A291" t="s">
        <v>1144</v>
      </c>
      <c r="B291">
        <v>-5.76</v>
      </c>
      <c r="C291">
        <v>124.416</v>
      </c>
      <c r="D291">
        <v>600</v>
      </c>
      <c r="E291">
        <v>5.0999999999999996</v>
      </c>
      <c r="F291" t="s">
        <v>23</v>
      </c>
      <c r="G291">
        <v>88</v>
      </c>
      <c r="J291">
        <v>0.91</v>
      </c>
      <c r="K291" t="s">
        <v>24</v>
      </c>
      <c r="L291" t="s">
        <v>1145</v>
      </c>
      <c r="M291" t="s">
        <v>1146</v>
      </c>
      <c r="N291" t="s">
        <v>1147</v>
      </c>
      <c r="O291" t="s">
        <v>28</v>
      </c>
      <c r="S291">
        <v>23</v>
      </c>
      <c r="T291" t="s">
        <v>29</v>
      </c>
      <c r="U291" t="s">
        <v>24</v>
      </c>
      <c r="V291" t="s">
        <v>24</v>
      </c>
    </row>
    <row r="292" spans="1:22" x14ac:dyDescent="0.25">
      <c r="A292" t="s">
        <v>1148</v>
      </c>
      <c r="B292">
        <v>-5.1260000000000003</v>
      </c>
      <c r="C292">
        <v>123.76</v>
      </c>
      <c r="D292">
        <v>33</v>
      </c>
      <c r="E292">
        <v>4.8</v>
      </c>
      <c r="F292" t="s">
        <v>23</v>
      </c>
      <c r="G292">
        <v>12</v>
      </c>
      <c r="J292">
        <v>1.51</v>
      </c>
      <c r="K292" t="s">
        <v>24</v>
      </c>
      <c r="L292" t="s">
        <v>1149</v>
      </c>
      <c r="M292" t="s">
        <v>1150</v>
      </c>
      <c r="N292" t="s">
        <v>1151</v>
      </c>
      <c r="O292" t="s">
        <v>28</v>
      </c>
      <c r="S292">
        <v>5</v>
      </c>
      <c r="T292" t="s">
        <v>29</v>
      </c>
      <c r="U292" t="s">
        <v>24</v>
      </c>
      <c r="V292" t="s">
        <v>24</v>
      </c>
    </row>
    <row r="293" spans="1:22" x14ac:dyDescent="0.25">
      <c r="A293" t="s">
        <v>1152</v>
      </c>
      <c r="B293">
        <v>-7.5039999999999996</v>
      </c>
      <c r="C293">
        <v>124.098</v>
      </c>
      <c r="D293">
        <v>33</v>
      </c>
      <c r="E293">
        <v>4.5</v>
      </c>
      <c r="F293" t="s">
        <v>23</v>
      </c>
      <c r="G293">
        <v>8</v>
      </c>
      <c r="J293">
        <v>1.32</v>
      </c>
      <c r="K293" t="s">
        <v>24</v>
      </c>
      <c r="L293" t="s">
        <v>1153</v>
      </c>
      <c r="M293" t="s">
        <v>1154</v>
      </c>
      <c r="N293" t="s">
        <v>1155</v>
      </c>
      <c r="O293" t="s">
        <v>28</v>
      </c>
      <c r="S293">
        <v>1</v>
      </c>
      <c r="T293" t="s">
        <v>29</v>
      </c>
      <c r="U293" t="s">
        <v>24</v>
      </c>
      <c r="V293" t="s">
        <v>24</v>
      </c>
    </row>
    <row r="294" spans="1:22" x14ac:dyDescent="0.25">
      <c r="A294" t="s">
        <v>1156</v>
      </c>
      <c r="B294">
        <v>-4.8490000000000002</v>
      </c>
      <c r="C294">
        <v>124.003</v>
      </c>
      <c r="D294">
        <v>33</v>
      </c>
      <c r="E294">
        <v>4.5</v>
      </c>
      <c r="F294" t="s">
        <v>23</v>
      </c>
      <c r="G294">
        <v>13</v>
      </c>
      <c r="J294">
        <v>1.33</v>
      </c>
      <c r="K294" t="s">
        <v>24</v>
      </c>
      <c r="L294" t="s">
        <v>1157</v>
      </c>
      <c r="M294" t="s">
        <v>1158</v>
      </c>
      <c r="N294" t="s">
        <v>1159</v>
      </c>
      <c r="O294" t="s">
        <v>28</v>
      </c>
      <c r="S294">
        <v>4</v>
      </c>
      <c r="T294" t="s">
        <v>29</v>
      </c>
      <c r="U294" t="s">
        <v>24</v>
      </c>
      <c r="V294" t="s">
        <v>24</v>
      </c>
    </row>
    <row r="295" spans="1:22" x14ac:dyDescent="0.25">
      <c r="A295" t="s">
        <v>1160</v>
      </c>
      <c r="B295">
        <v>-4.9219999999999997</v>
      </c>
      <c r="C295">
        <v>124.092</v>
      </c>
      <c r="D295">
        <v>33</v>
      </c>
      <c r="E295">
        <v>4.7</v>
      </c>
      <c r="F295" t="s">
        <v>23</v>
      </c>
      <c r="G295">
        <v>22</v>
      </c>
      <c r="J295">
        <v>1.08</v>
      </c>
      <c r="K295" t="s">
        <v>24</v>
      </c>
      <c r="L295" t="s">
        <v>1161</v>
      </c>
      <c r="M295" t="s">
        <v>1162</v>
      </c>
      <c r="N295" t="s">
        <v>1163</v>
      </c>
      <c r="O295" t="s">
        <v>28</v>
      </c>
      <c r="S295">
        <v>14</v>
      </c>
      <c r="T295" t="s">
        <v>29</v>
      </c>
      <c r="U295" t="s">
        <v>24</v>
      </c>
      <c r="V295" t="s">
        <v>24</v>
      </c>
    </row>
    <row r="296" spans="1:22" x14ac:dyDescent="0.25">
      <c r="A296" t="s">
        <v>1164</v>
      </c>
      <c r="B296">
        <v>-7.0430000000000001</v>
      </c>
      <c r="C296">
        <v>124.89700000000001</v>
      </c>
      <c r="D296">
        <v>488</v>
      </c>
      <c r="E296">
        <v>4.5</v>
      </c>
      <c r="F296" t="s">
        <v>23</v>
      </c>
      <c r="G296">
        <v>15</v>
      </c>
      <c r="J296">
        <v>0.78</v>
      </c>
      <c r="K296" t="s">
        <v>24</v>
      </c>
      <c r="L296" t="s">
        <v>1165</v>
      </c>
      <c r="M296" t="s">
        <v>1166</v>
      </c>
      <c r="N296" t="s">
        <v>1167</v>
      </c>
      <c r="O296" t="s">
        <v>28</v>
      </c>
      <c r="Q296">
        <v>21.6</v>
      </c>
      <c r="S296">
        <v>4</v>
      </c>
      <c r="T296" t="s">
        <v>29</v>
      </c>
      <c r="U296" t="s">
        <v>24</v>
      </c>
      <c r="V296" t="s">
        <v>24</v>
      </c>
    </row>
    <row r="297" spans="1:22" x14ac:dyDescent="0.25">
      <c r="A297" t="s">
        <v>1168</v>
      </c>
      <c r="B297">
        <v>-7.173</v>
      </c>
      <c r="C297">
        <v>121.92</v>
      </c>
      <c r="D297">
        <v>465.4</v>
      </c>
      <c r="E297">
        <v>4.8</v>
      </c>
      <c r="F297" t="s">
        <v>23</v>
      </c>
      <c r="G297">
        <v>13</v>
      </c>
      <c r="J297">
        <v>0.84</v>
      </c>
      <c r="K297" t="s">
        <v>24</v>
      </c>
      <c r="L297" t="s">
        <v>1169</v>
      </c>
      <c r="M297" t="s">
        <v>1170</v>
      </c>
      <c r="N297" t="s">
        <v>1171</v>
      </c>
      <c r="O297" t="s">
        <v>28</v>
      </c>
      <c r="Q297">
        <v>25.7</v>
      </c>
      <c r="S297">
        <v>4</v>
      </c>
      <c r="T297" t="s">
        <v>29</v>
      </c>
      <c r="U297" t="s">
        <v>24</v>
      </c>
      <c r="V297" t="s">
        <v>24</v>
      </c>
    </row>
    <row r="298" spans="1:22" x14ac:dyDescent="0.25">
      <c r="A298" t="s">
        <v>1172</v>
      </c>
      <c r="B298">
        <v>-7.1760000000000002</v>
      </c>
      <c r="C298">
        <v>120.58</v>
      </c>
      <c r="D298">
        <v>526.70000000000005</v>
      </c>
      <c r="E298">
        <v>4.8</v>
      </c>
      <c r="F298" t="s">
        <v>23</v>
      </c>
      <c r="G298">
        <v>89</v>
      </c>
      <c r="J298">
        <v>0.88</v>
      </c>
      <c r="K298" t="s">
        <v>24</v>
      </c>
      <c r="L298" t="s">
        <v>1173</v>
      </c>
      <c r="M298" t="s">
        <v>1174</v>
      </c>
      <c r="N298" t="s">
        <v>1175</v>
      </c>
      <c r="O298" t="s">
        <v>28</v>
      </c>
      <c r="Q298">
        <v>3.3</v>
      </c>
      <c r="S298">
        <v>17</v>
      </c>
      <c r="T298" t="s">
        <v>29</v>
      </c>
      <c r="U298" t="s">
        <v>24</v>
      </c>
      <c r="V298" t="s">
        <v>24</v>
      </c>
    </row>
    <row r="299" spans="1:22" x14ac:dyDescent="0.25">
      <c r="A299" t="s">
        <v>1176</v>
      </c>
      <c r="B299">
        <v>-6.9569999999999999</v>
      </c>
      <c r="C299">
        <v>123.318</v>
      </c>
      <c r="D299">
        <v>33</v>
      </c>
      <c r="E299">
        <v>4.8</v>
      </c>
      <c r="F299" t="s">
        <v>23</v>
      </c>
      <c r="G299">
        <v>34</v>
      </c>
      <c r="J299">
        <v>1.04</v>
      </c>
      <c r="K299" t="s">
        <v>24</v>
      </c>
      <c r="L299" t="s">
        <v>1177</v>
      </c>
      <c r="M299" t="s">
        <v>1178</v>
      </c>
      <c r="N299" t="s">
        <v>1179</v>
      </c>
      <c r="O299" t="s">
        <v>28</v>
      </c>
      <c r="S299">
        <v>17</v>
      </c>
      <c r="T299" t="s">
        <v>29</v>
      </c>
      <c r="U299" t="s">
        <v>24</v>
      </c>
      <c r="V299" t="s">
        <v>24</v>
      </c>
    </row>
    <row r="300" spans="1:22" x14ac:dyDescent="0.25">
      <c r="A300" t="s">
        <v>1180</v>
      </c>
      <c r="B300">
        <v>-7.0540000000000003</v>
      </c>
      <c r="C300">
        <v>124.036</v>
      </c>
      <c r="D300">
        <v>600</v>
      </c>
      <c r="E300">
        <v>4.5999999999999996</v>
      </c>
      <c r="F300" t="s">
        <v>23</v>
      </c>
      <c r="G300">
        <v>13</v>
      </c>
      <c r="J300">
        <v>0.56999999999999995</v>
      </c>
      <c r="K300" t="s">
        <v>24</v>
      </c>
      <c r="L300" t="s">
        <v>1181</v>
      </c>
      <c r="M300" t="s">
        <v>1182</v>
      </c>
      <c r="N300" t="s">
        <v>1183</v>
      </c>
      <c r="O300" t="s">
        <v>28</v>
      </c>
      <c r="S300">
        <v>3</v>
      </c>
      <c r="T300" t="s">
        <v>29</v>
      </c>
      <c r="U300" t="s">
        <v>24</v>
      </c>
      <c r="V300" t="s">
        <v>24</v>
      </c>
    </row>
    <row r="301" spans="1:22" x14ac:dyDescent="0.25">
      <c r="A301" t="s">
        <v>1184</v>
      </c>
      <c r="B301">
        <v>-4.734</v>
      </c>
      <c r="C301">
        <v>123.79900000000001</v>
      </c>
      <c r="D301">
        <v>33</v>
      </c>
      <c r="E301">
        <v>4.8</v>
      </c>
      <c r="F301" t="s">
        <v>23</v>
      </c>
      <c r="G301">
        <v>22</v>
      </c>
      <c r="J301">
        <v>0.88</v>
      </c>
      <c r="K301" t="s">
        <v>24</v>
      </c>
      <c r="L301" t="s">
        <v>1185</v>
      </c>
      <c r="M301" t="s">
        <v>1186</v>
      </c>
      <c r="N301" t="s">
        <v>1187</v>
      </c>
      <c r="O301" t="s">
        <v>28</v>
      </c>
      <c r="S301">
        <v>7</v>
      </c>
      <c r="T301" t="s">
        <v>29</v>
      </c>
      <c r="U301" t="s">
        <v>24</v>
      </c>
      <c r="V301" t="s">
        <v>24</v>
      </c>
    </row>
    <row r="302" spans="1:22" x14ac:dyDescent="0.25">
      <c r="A302" t="s">
        <v>1188</v>
      </c>
      <c r="B302">
        <v>-7.0750000000000002</v>
      </c>
      <c r="C302">
        <v>123.675</v>
      </c>
      <c r="D302">
        <v>584.70000000000005</v>
      </c>
      <c r="E302">
        <v>5.0999999999999996</v>
      </c>
      <c r="F302" t="s">
        <v>863</v>
      </c>
      <c r="G302">
        <v>165</v>
      </c>
      <c r="H302">
        <v>65.5</v>
      </c>
      <c r="J302">
        <v>0.8</v>
      </c>
      <c r="K302" t="s">
        <v>24</v>
      </c>
      <c r="L302" t="s">
        <v>1189</v>
      </c>
      <c r="M302" t="s">
        <v>1190</v>
      </c>
      <c r="N302" t="s">
        <v>843</v>
      </c>
      <c r="O302" t="s">
        <v>28</v>
      </c>
      <c r="Q302">
        <v>2.2000000000000002</v>
      </c>
      <c r="T302" t="s">
        <v>29</v>
      </c>
      <c r="U302" t="s">
        <v>24</v>
      </c>
      <c r="V302" t="s">
        <v>322</v>
      </c>
    </row>
    <row r="303" spans="1:22" x14ac:dyDescent="0.25">
      <c r="A303" t="s">
        <v>1191</v>
      </c>
      <c r="B303">
        <v>-4.8620000000000001</v>
      </c>
      <c r="C303">
        <v>124.033</v>
      </c>
      <c r="D303">
        <v>33</v>
      </c>
      <c r="E303">
        <v>4.8</v>
      </c>
      <c r="F303" t="s">
        <v>23</v>
      </c>
      <c r="G303">
        <v>25</v>
      </c>
      <c r="H303">
        <v>81.599999999999994</v>
      </c>
      <c r="J303">
        <v>1.39</v>
      </c>
      <c r="K303" t="s">
        <v>24</v>
      </c>
      <c r="L303" t="s">
        <v>1192</v>
      </c>
      <c r="M303" t="s">
        <v>1193</v>
      </c>
      <c r="N303" t="s">
        <v>1194</v>
      </c>
      <c r="O303" t="s">
        <v>28</v>
      </c>
      <c r="S303">
        <v>7</v>
      </c>
      <c r="T303" t="s">
        <v>29</v>
      </c>
      <c r="U303" t="s">
        <v>24</v>
      </c>
      <c r="V303" t="s">
        <v>24</v>
      </c>
    </row>
    <row r="304" spans="1:22" x14ac:dyDescent="0.25">
      <c r="A304" t="s">
        <v>1195</v>
      </c>
      <c r="B304">
        <v>-4.7859999999999996</v>
      </c>
      <c r="C304">
        <v>124.218</v>
      </c>
      <c r="D304">
        <v>33</v>
      </c>
      <c r="E304">
        <v>4.7</v>
      </c>
      <c r="F304" t="s">
        <v>23</v>
      </c>
      <c r="G304">
        <v>30</v>
      </c>
      <c r="H304">
        <v>120.2</v>
      </c>
      <c r="J304">
        <v>1.1399999999999999</v>
      </c>
      <c r="K304" t="s">
        <v>24</v>
      </c>
      <c r="L304" t="s">
        <v>1196</v>
      </c>
      <c r="M304" t="s">
        <v>1197</v>
      </c>
      <c r="N304" t="s">
        <v>1198</v>
      </c>
      <c r="O304" t="s">
        <v>28</v>
      </c>
      <c r="S304">
        <v>13</v>
      </c>
      <c r="T304" t="s">
        <v>29</v>
      </c>
      <c r="U304" t="s">
        <v>24</v>
      </c>
      <c r="V304" t="s">
        <v>24</v>
      </c>
    </row>
    <row r="305" spans="1:22" x14ac:dyDescent="0.25">
      <c r="A305" t="s">
        <v>1199</v>
      </c>
      <c r="B305">
        <v>-7.1970000000000001</v>
      </c>
      <c r="C305">
        <v>120.389</v>
      </c>
      <c r="D305">
        <v>590</v>
      </c>
      <c r="E305">
        <v>4.5999999999999996</v>
      </c>
      <c r="F305" t="s">
        <v>23</v>
      </c>
      <c r="G305">
        <v>62</v>
      </c>
      <c r="H305">
        <v>59.5</v>
      </c>
      <c r="J305">
        <v>0.87</v>
      </c>
      <c r="K305" t="s">
        <v>24</v>
      </c>
      <c r="L305" t="s">
        <v>1200</v>
      </c>
      <c r="M305" t="s">
        <v>1201</v>
      </c>
      <c r="N305" t="s">
        <v>980</v>
      </c>
      <c r="O305" t="s">
        <v>28</v>
      </c>
      <c r="Q305">
        <v>3.7</v>
      </c>
      <c r="S305">
        <v>25</v>
      </c>
      <c r="T305" t="s">
        <v>29</v>
      </c>
      <c r="U305" t="s">
        <v>24</v>
      </c>
      <c r="V305" t="s">
        <v>24</v>
      </c>
    </row>
    <row r="306" spans="1:22" x14ac:dyDescent="0.25">
      <c r="A306" t="s">
        <v>1202</v>
      </c>
      <c r="B306">
        <v>-5.9290000000000003</v>
      </c>
      <c r="C306">
        <v>119.779</v>
      </c>
      <c r="D306">
        <v>33</v>
      </c>
      <c r="E306">
        <v>4.5</v>
      </c>
      <c r="F306" t="s">
        <v>23</v>
      </c>
      <c r="G306">
        <v>12</v>
      </c>
      <c r="H306">
        <v>122.3</v>
      </c>
      <c r="J306">
        <v>1.32</v>
      </c>
      <c r="K306" t="s">
        <v>24</v>
      </c>
      <c r="L306" t="s">
        <v>1203</v>
      </c>
      <c r="M306" t="s">
        <v>1204</v>
      </c>
      <c r="N306" t="s">
        <v>1205</v>
      </c>
      <c r="O306" t="s">
        <v>28</v>
      </c>
      <c r="S306">
        <v>1</v>
      </c>
      <c r="T306" t="s">
        <v>29</v>
      </c>
      <c r="U306" t="s">
        <v>24</v>
      </c>
      <c r="V306" t="s">
        <v>24</v>
      </c>
    </row>
    <row r="307" spans="1:22" x14ac:dyDescent="0.25">
      <c r="A307" t="s">
        <v>1206</v>
      </c>
      <c r="B307">
        <v>-7.2069999999999999</v>
      </c>
      <c r="C307">
        <v>122.697</v>
      </c>
      <c r="D307">
        <v>573.4</v>
      </c>
      <c r="E307">
        <v>5.6</v>
      </c>
      <c r="F307" t="s">
        <v>863</v>
      </c>
      <c r="G307">
        <v>214</v>
      </c>
      <c r="H307">
        <v>63.6</v>
      </c>
      <c r="J307">
        <v>0.67</v>
      </c>
      <c r="K307" t="s">
        <v>24</v>
      </c>
      <c r="L307" t="s">
        <v>1207</v>
      </c>
      <c r="M307" t="s">
        <v>1208</v>
      </c>
      <c r="N307" t="s">
        <v>428</v>
      </c>
      <c r="O307" t="s">
        <v>28</v>
      </c>
      <c r="T307" t="s">
        <v>29</v>
      </c>
      <c r="U307" t="s">
        <v>24</v>
      </c>
      <c r="V307" t="s">
        <v>322</v>
      </c>
    </row>
    <row r="308" spans="1:22" x14ac:dyDescent="0.25">
      <c r="A308" t="s">
        <v>1209</v>
      </c>
      <c r="B308">
        <v>-7.43</v>
      </c>
      <c r="C308">
        <v>123.101</v>
      </c>
      <c r="D308">
        <v>550.6</v>
      </c>
      <c r="E308">
        <v>4.8</v>
      </c>
      <c r="F308" t="s">
        <v>23</v>
      </c>
      <c r="G308">
        <v>43</v>
      </c>
      <c r="H308">
        <v>65.7</v>
      </c>
      <c r="J308">
        <v>0.8</v>
      </c>
      <c r="K308" t="s">
        <v>24</v>
      </c>
      <c r="L308" t="s">
        <v>1210</v>
      </c>
      <c r="M308" t="s">
        <v>1211</v>
      </c>
      <c r="N308" t="s">
        <v>1212</v>
      </c>
      <c r="O308" t="s">
        <v>28</v>
      </c>
      <c r="Q308">
        <v>5.6</v>
      </c>
      <c r="S308">
        <v>10</v>
      </c>
      <c r="T308" t="s">
        <v>29</v>
      </c>
      <c r="U308" t="s">
        <v>24</v>
      </c>
      <c r="V308" t="s">
        <v>24</v>
      </c>
    </row>
    <row r="309" spans="1:22" x14ac:dyDescent="0.25">
      <c r="A309" t="s">
        <v>1213</v>
      </c>
      <c r="B309">
        <v>-6.2830000000000004</v>
      </c>
      <c r="C309">
        <v>124.386</v>
      </c>
      <c r="D309">
        <v>600</v>
      </c>
      <c r="E309">
        <v>4.5</v>
      </c>
      <c r="F309" t="s">
        <v>23</v>
      </c>
      <c r="G309">
        <v>30</v>
      </c>
      <c r="H309">
        <v>118.4</v>
      </c>
      <c r="J309">
        <v>0.69</v>
      </c>
      <c r="K309" t="s">
        <v>24</v>
      </c>
      <c r="L309" t="s">
        <v>1214</v>
      </c>
      <c r="M309" t="s">
        <v>1215</v>
      </c>
      <c r="N309" t="s">
        <v>1216</v>
      </c>
      <c r="O309" t="s">
        <v>28</v>
      </c>
      <c r="S309">
        <v>10</v>
      </c>
      <c r="T309" t="s">
        <v>29</v>
      </c>
      <c r="U309" t="s">
        <v>24</v>
      </c>
      <c r="V309" t="s">
        <v>24</v>
      </c>
    </row>
    <row r="310" spans="1:22" x14ac:dyDescent="0.25">
      <c r="A310" t="s">
        <v>1217</v>
      </c>
      <c r="B310">
        <v>-7.2460000000000004</v>
      </c>
      <c r="C310">
        <v>123.896</v>
      </c>
      <c r="D310">
        <v>557.29999999999995</v>
      </c>
      <c r="E310">
        <v>4.5</v>
      </c>
      <c r="F310" t="s">
        <v>23</v>
      </c>
      <c r="G310">
        <v>11</v>
      </c>
      <c r="H310">
        <v>153.69999999999999</v>
      </c>
      <c r="J310">
        <v>0.74</v>
      </c>
      <c r="K310" t="s">
        <v>24</v>
      </c>
      <c r="L310" t="s">
        <v>1218</v>
      </c>
      <c r="M310" t="s">
        <v>1219</v>
      </c>
      <c r="N310" t="s">
        <v>1220</v>
      </c>
      <c r="O310" t="s">
        <v>28</v>
      </c>
      <c r="Q310">
        <v>19.8</v>
      </c>
      <c r="S310">
        <v>5</v>
      </c>
      <c r="T310" t="s">
        <v>29</v>
      </c>
      <c r="U310" t="s">
        <v>24</v>
      </c>
      <c r="V310" t="s">
        <v>24</v>
      </c>
    </row>
    <row r="311" spans="1:22" x14ac:dyDescent="0.25">
      <c r="A311" t="s">
        <v>1221</v>
      </c>
      <c r="B311">
        <v>-7.3250000000000002</v>
      </c>
      <c r="C311">
        <v>119.988</v>
      </c>
      <c r="D311">
        <v>620</v>
      </c>
      <c r="E311">
        <v>4.9000000000000004</v>
      </c>
      <c r="F311" t="s">
        <v>23</v>
      </c>
      <c r="G311">
        <v>46</v>
      </c>
      <c r="H311">
        <v>56.8</v>
      </c>
      <c r="J311">
        <v>0.75</v>
      </c>
      <c r="K311" t="s">
        <v>24</v>
      </c>
      <c r="L311" t="s">
        <v>1222</v>
      </c>
      <c r="M311" t="s">
        <v>1223</v>
      </c>
      <c r="N311" t="s">
        <v>1224</v>
      </c>
      <c r="O311" t="s">
        <v>28</v>
      </c>
      <c r="Q311">
        <v>3.7</v>
      </c>
      <c r="S311">
        <v>14</v>
      </c>
      <c r="T311" t="s">
        <v>29</v>
      </c>
      <c r="U311" t="s">
        <v>24</v>
      </c>
      <c r="V311" t="s">
        <v>24</v>
      </c>
    </row>
    <row r="312" spans="1:22" x14ac:dyDescent="0.25">
      <c r="A312" t="s">
        <v>1225</v>
      </c>
      <c r="B312">
        <v>-7.1040000000000001</v>
      </c>
      <c r="C312">
        <v>124.864</v>
      </c>
      <c r="D312">
        <v>541.4</v>
      </c>
      <c r="E312">
        <v>4.8</v>
      </c>
      <c r="F312" t="s">
        <v>23</v>
      </c>
      <c r="G312">
        <v>53</v>
      </c>
      <c r="H312">
        <v>72.2</v>
      </c>
      <c r="J312">
        <v>0.8</v>
      </c>
      <c r="K312" t="s">
        <v>24</v>
      </c>
      <c r="L312" t="s">
        <v>1226</v>
      </c>
      <c r="M312" t="s">
        <v>1227</v>
      </c>
      <c r="N312" t="s">
        <v>976</v>
      </c>
      <c r="O312" t="s">
        <v>28</v>
      </c>
      <c r="Q312">
        <v>7.9</v>
      </c>
      <c r="S312">
        <v>19</v>
      </c>
      <c r="T312" t="s">
        <v>29</v>
      </c>
      <c r="U312" t="s">
        <v>24</v>
      </c>
      <c r="V312" t="s">
        <v>24</v>
      </c>
    </row>
    <row r="313" spans="1:22" x14ac:dyDescent="0.25">
      <c r="A313" t="s">
        <v>1228</v>
      </c>
      <c r="B313">
        <v>-7.2130000000000001</v>
      </c>
      <c r="C313">
        <v>120.47</v>
      </c>
      <c r="D313">
        <v>540.4</v>
      </c>
      <c r="E313">
        <v>4.5999999999999996</v>
      </c>
      <c r="F313" t="s">
        <v>23</v>
      </c>
      <c r="G313">
        <v>48</v>
      </c>
      <c r="H313">
        <v>59.5</v>
      </c>
      <c r="J313">
        <v>0.73</v>
      </c>
      <c r="K313" t="s">
        <v>24</v>
      </c>
      <c r="L313" t="s">
        <v>1229</v>
      </c>
      <c r="M313" t="s">
        <v>1230</v>
      </c>
      <c r="N313" t="s">
        <v>808</v>
      </c>
      <c r="O313" t="s">
        <v>28</v>
      </c>
      <c r="Q313">
        <v>5</v>
      </c>
      <c r="S313">
        <v>20</v>
      </c>
      <c r="T313" t="s">
        <v>29</v>
      </c>
      <c r="U313" t="s">
        <v>24</v>
      </c>
      <c r="V313" t="s">
        <v>24</v>
      </c>
    </row>
    <row r="314" spans="1:22" x14ac:dyDescent="0.25">
      <c r="A314" t="s">
        <v>1231</v>
      </c>
      <c r="B314">
        <v>-7.2439999999999998</v>
      </c>
      <c r="C314">
        <v>122.358</v>
      </c>
      <c r="D314">
        <v>559.1</v>
      </c>
      <c r="E314">
        <v>4.5</v>
      </c>
      <c r="F314" t="s">
        <v>23</v>
      </c>
      <c r="G314">
        <v>9</v>
      </c>
      <c r="H314">
        <v>167.9</v>
      </c>
      <c r="J314">
        <v>0.23</v>
      </c>
      <c r="K314" t="s">
        <v>24</v>
      </c>
      <c r="L314" t="s">
        <v>1232</v>
      </c>
      <c r="M314" t="s">
        <v>1233</v>
      </c>
      <c r="N314" t="s">
        <v>672</v>
      </c>
      <c r="O314" t="s">
        <v>28</v>
      </c>
      <c r="Q314">
        <v>24.5</v>
      </c>
      <c r="S314">
        <v>2</v>
      </c>
      <c r="T314" t="s">
        <v>29</v>
      </c>
      <c r="U314" t="s">
        <v>24</v>
      </c>
      <c r="V314" t="s">
        <v>24</v>
      </c>
    </row>
    <row r="315" spans="1:22" x14ac:dyDescent="0.25">
      <c r="A315" t="s">
        <v>1234</v>
      </c>
      <c r="B315">
        <v>-7.4870000000000001</v>
      </c>
      <c r="C315">
        <v>125.122</v>
      </c>
      <c r="D315">
        <v>389</v>
      </c>
      <c r="E315">
        <v>4.5</v>
      </c>
      <c r="F315" t="s">
        <v>23</v>
      </c>
      <c r="G315">
        <v>14</v>
      </c>
      <c r="H315">
        <v>169.1</v>
      </c>
      <c r="J315">
        <v>0.45</v>
      </c>
      <c r="K315" t="s">
        <v>24</v>
      </c>
      <c r="L315" t="s">
        <v>1235</v>
      </c>
      <c r="M315" t="s">
        <v>1236</v>
      </c>
      <c r="N315" t="s">
        <v>1237</v>
      </c>
      <c r="O315" t="s">
        <v>28</v>
      </c>
      <c r="Q315">
        <v>31.4</v>
      </c>
      <c r="S315">
        <v>3</v>
      </c>
      <c r="T315" t="s">
        <v>29</v>
      </c>
      <c r="U315" t="s">
        <v>24</v>
      </c>
      <c r="V315" t="s">
        <v>24</v>
      </c>
    </row>
    <row r="316" spans="1:22" x14ac:dyDescent="0.25">
      <c r="A316" t="s">
        <v>1238</v>
      </c>
      <c r="B316">
        <v>-7.2960000000000003</v>
      </c>
      <c r="C316">
        <v>120.352</v>
      </c>
      <c r="D316">
        <v>561.4</v>
      </c>
      <c r="E316">
        <v>4.5</v>
      </c>
      <c r="F316" t="s">
        <v>23</v>
      </c>
      <c r="G316">
        <v>44</v>
      </c>
      <c r="H316">
        <v>53.2</v>
      </c>
      <c r="J316">
        <v>1.1299999999999999</v>
      </c>
      <c r="K316" t="s">
        <v>24</v>
      </c>
      <c r="L316" t="s">
        <v>1239</v>
      </c>
      <c r="M316" t="s">
        <v>1240</v>
      </c>
      <c r="N316" t="s">
        <v>372</v>
      </c>
      <c r="O316" t="s">
        <v>28</v>
      </c>
      <c r="S316">
        <v>14</v>
      </c>
      <c r="T316" t="s">
        <v>29</v>
      </c>
      <c r="U316" t="s">
        <v>24</v>
      </c>
      <c r="V316" t="s">
        <v>24</v>
      </c>
    </row>
    <row r="317" spans="1:22" x14ac:dyDescent="0.25">
      <c r="A317" t="s">
        <v>1241</v>
      </c>
      <c r="B317">
        <v>-6.9539999999999997</v>
      </c>
      <c r="C317">
        <v>125.116</v>
      </c>
      <c r="D317">
        <v>510.6</v>
      </c>
      <c r="E317">
        <v>4.5</v>
      </c>
      <c r="F317" t="s">
        <v>23</v>
      </c>
      <c r="G317">
        <v>35</v>
      </c>
      <c r="H317">
        <v>113.1</v>
      </c>
      <c r="J317">
        <v>0.79</v>
      </c>
      <c r="K317" t="s">
        <v>24</v>
      </c>
      <c r="L317" t="s">
        <v>1242</v>
      </c>
      <c r="M317" t="s">
        <v>1243</v>
      </c>
      <c r="N317" t="s">
        <v>861</v>
      </c>
      <c r="O317" t="s">
        <v>28</v>
      </c>
      <c r="Q317">
        <v>11.3</v>
      </c>
      <c r="S317">
        <v>13</v>
      </c>
      <c r="T317" t="s">
        <v>29</v>
      </c>
      <c r="U317" t="s">
        <v>24</v>
      </c>
      <c r="V317" t="s">
        <v>24</v>
      </c>
    </row>
    <row r="318" spans="1:22" x14ac:dyDescent="0.25">
      <c r="A318" t="s">
        <v>1244</v>
      </c>
      <c r="B318">
        <v>-6.96</v>
      </c>
      <c r="C318">
        <v>125.08799999999999</v>
      </c>
      <c r="D318">
        <v>513.9</v>
      </c>
      <c r="E318">
        <v>4.8</v>
      </c>
      <c r="F318" t="s">
        <v>23</v>
      </c>
      <c r="G318">
        <v>109</v>
      </c>
      <c r="H318">
        <v>57.5</v>
      </c>
      <c r="J318">
        <v>0.77</v>
      </c>
      <c r="K318" t="s">
        <v>24</v>
      </c>
      <c r="L318" t="s">
        <v>1245</v>
      </c>
      <c r="M318" t="s">
        <v>1246</v>
      </c>
      <c r="N318" t="s">
        <v>861</v>
      </c>
      <c r="O318" t="s">
        <v>28</v>
      </c>
      <c r="Q318">
        <v>5.5</v>
      </c>
      <c r="S318">
        <v>23</v>
      </c>
      <c r="T318" t="s">
        <v>29</v>
      </c>
      <c r="U318" t="s">
        <v>24</v>
      </c>
      <c r="V318" t="s">
        <v>24</v>
      </c>
    </row>
    <row r="319" spans="1:22" x14ac:dyDescent="0.25">
      <c r="A319" t="s">
        <v>1247</v>
      </c>
      <c r="B319">
        <v>-6.5940000000000003</v>
      </c>
      <c r="C319">
        <v>122.85</v>
      </c>
      <c r="D319">
        <v>10</v>
      </c>
      <c r="E319">
        <v>4.5999999999999996</v>
      </c>
      <c r="F319" t="s">
        <v>23</v>
      </c>
      <c r="G319">
        <v>24</v>
      </c>
      <c r="H319">
        <v>128.80000000000001</v>
      </c>
      <c r="J319">
        <v>0.98</v>
      </c>
      <c r="K319" t="s">
        <v>24</v>
      </c>
      <c r="L319" t="s">
        <v>1248</v>
      </c>
      <c r="M319" t="s">
        <v>1249</v>
      </c>
      <c r="N319" t="s">
        <v>1250</v>
      </c>
      <c r="O319" t="s">
        <v>28</v>
      </c>
      <c r="S319">
        <v>5</v>
      </c>
      <c r="T319" t="s">
        <v>29</v>
      </c>
      <c r="U319" t="s">
        <v>24</v>
      </c>
      <c r="V319" t="s">
        <v>24</v>
      </c>
    </row>
    <row r="320" spans="1:22" x14ac:dyDescent="0.25">
      <c r="A320" t="s">
        <v>1251</v>
      </c>
      <c r="B320">
        <v>-7.1</v>
      </c>
      <c r="C320">
        <v>120.361</v>
      </c>
      <c r="D320">
        <v>563.29999999999995</v>
      </c>
      <c r="E320">
        <v>4.7</v>
      </c>
      <c r="F320" t="s">
        <v>23</v>
      </c>
      <c r="G320">
        <v>91</v>
      </c>
      <c r="H320">
        <v>44.1</v>
      </c>
      <c r="J320">
        <v>0.87</v>
      </c>
      <c r="K320" t="s">
        <v>24</v>
      </c>
      <c r="L320" t="s">
        <v>1252</v>
      </c>
      <c r="M320" t="s">
        <v>1253</v>
      </c>
      <c r="N320" t="s">
        <v>1254</v>
      </c>
      <c r="O320" t="s">
        <v>28</v>
      </c>
      <c r="Q320">
        <v>4.7</v>
      </c>
      <c r="S320">
        <v>19</v>
      </c>
      <c r="T320" t="s">
        <v>29</v>
      </c>
      <c r="U320" t="s">
        <v>24</v>
      </c>
      <c r="V320" t="s">
        <v>24</v>
      </c>
    </row>
    <row r="321" spans="1:22" x14ac:dyDescent="0.25">
      <c r="A321" t="s">
        <v>1255</v>
      </c>
      <c r="B321">
        <v>-6.98</v>
      </c>
      <c r="C321">
        <v>124.881</v>
      </c>
      <c r="D321">
        <v>548.9</v>
      </c>
      <c r="E321">
        <v>5.2</v>
      </c>
      <c r="F321" t="s">
        <v>863</v>
      </c>
      <c r="G321">
        <v>157</v>
      </c>
      <c r="H321">
        <v>57.4</v>
      </c>
      <c r="J321">
        <v>0.95</v>
      </c>
      <c r="K321" t="s">
        <v>24</v>
      </c>
      <c r="L321" t="s">
        <v>1256</v>
      </c>
      <c r="M321" t="s">
        <v>1257</v>
      </c>
      <c r="N321" t="s">
        <v>1258</v>
      </c>
      <c r="O321" t="s">
        <v>28</v>
      </c>
      <c r="T321" t="s">
        <v>29</v>
      </c>
      <c r="U321" t="s">
        <v>24</v>
      </c>
      <c r="V321" t="s">
        <v>322</v>
      </c>
    </row>
    <row r="322" spans="1:22" x14ac:dyDescent="0.25">
      <c r="A322" t="s">
        <v>1259</v>
      </c>
      <c r="B322">
        <v>-5.3840000000000003</v>
      </c>
      <c r="C322">
        <v>122.431</v>
      </c>
      <c r="D322">
        <v>10</v>
      </c>
      <c r="E322">
        <v>4.8</v>
      </c>
      <c r="F322" t="s">
        <v>863</v>
      </c>
      <c r="G322">
        <v>24</v>
      </c>
      <c r="H322">
        <v>113.9</v>
      </c>
      <c r="J322">
        <v>1</v>
      </c>
      <c r="K322" t="s">
        <v>24</v>
      </c>
      <c r="L322" t="s">
        <v>1260</v>
      </c>
      <c r="M322" t="s">
        <v>1261</v>
      </c>
      <c r="N322" t="s">
        <v>1262</v>
      </c>
      <c r="O322" t="s">
        <v>28</v>
      </c>
      <c r="T322" t="s">
        <v>29</v>
      </c>
      <c r="U322" t="s">
        <v>24</v>
      </c>
      <c r="V322" t="s">
        <v>322</v>
      </c>
    </row>
    <row r="323" spans="1:22" x14ac:dyDescent="0.25">
      <c r="A323" t="s">
        <v>1263</v>
      </c>
      <c r="B323">
        <v>-7.282</v>
      </c>
      <c r="C323">
        <v>124.699</v>
      </c>
      <c r="D323">
        <v>530.9</v>
      </c>
      <c r="E323">
        <v>4.7</v>
      </c>
      <c r="F323" t="s">
        <v>23</v>
      </c>
      <c r="G323">
        <v>91</v>
      </c>
      <c r="H323">
        <v>59.5</v>
      </c>
      <c r="J323">
        <v>0.83</v>
      </c>
      <c r="K323" t="s">
        <v>24</v>
      </c>
      <c r="L323" t="s">
        <v>1264</v>
      </c>
      <c r="M323" t="s">
        <v>1265</v>
      </c>
      <c r="N323" t="s">
        <v>1266</v>
      </c>
      <c r="O323" t="s">
        <v>28</v>
      </c>
      <c r="S323">
        <v>31</v>
      </c>
      <c r="T323" t="s">
        <v>29</v>
      </c>
      <c r="U323" t="s">
        <v>24</v>
      </c>
      <c r="V323" t="s">
        <v>24</v>
      </c>
    </row>
    <row r="324" spans="1:22" x14ac:dyDescent="0.25">
      <c r="A324" t="s">
        <v>1267</v>
      </c>
      <c r="B324">
        <v>-7.399</v>
      </c>
      <c r="C324">
        <v>120.14</v>
      </c>
      <c r="D324">
        <v>624.4</v>
      </c>
      <c r="E324">
        <v>4.5999999999999996</v>
      </c>
      <c r="F324" t="s">
        <v>23</v>
      </c>
      <c r="G324">
        <v>36</v>
      </c>
      <c r="H324">
        <v>58.2</v>
      </c>
      <c r="J324">
        <v>0.93</v>
      </c>
      <c r="K324" t="s">
        <v>24</v>
      </c>
      <c r="L324" t="s">
        <v>1268</v>
      </c>
      <c r="M324" t="s">
        <v>1269</v>
      </c>
      <c r="N324" t="s">
        <v>1270</v>
      </c>
      <c r="O324" t="s">
        <v>28</v>
      </c>
      <c r="Q324">
        <v>4.7</v>
      </c>
      <c r="S324">
        <v>11</v>
      </c>
      <c r="T324" t="s">
        <v>29</v>
      </c>
      <c r="U324" t="s">
        <v>24</v>
      </c>
      <c r="V324" t="s">
        <v>24</v>
      </c>
    </row>
    <row r="325" spans="1:22" x14ac:dyDescent="0.25">
      <c r="A325" t="s">
        <v>1271</v>
      </c>
      <c r="B325">
        <v>-5.5620000000000003</v>
      </c>
      <c r="C325">
        <v>122.129</v>
      </c>
      <c r="D325">
        <v>10</v>
      </c>
      <c r="E325">
        <v>6.5</v>
      </c>
      <c r="F325" t="s">
        <v>734</v>
      </c>
      <c r="G325">
        <v>371</v>
      </c>
      <c r="H325">
        <v>31.8</v>
      </c>
      <c r="J325">
        <v>0.92</v>
      </c>
      <c r="K325" t="s">
        <v>24</v>
      </c>
      <c r="L325" t="s">
        <v>1272</v>
      </c>
      <c r="M325" t="s">
        <v>1273</v>
      </c>
      <c r="N325" t="s">
        <v>1274</v>
      </c>
      <c r="O325" t="s">
        <v>28</v>
      </c>
      <c r="T325" t="s">
        <v>29</v>
      </c>
      <c r="U325" t="s">
        <v>24</v>
      </c>
      <c r="V325" t="s">
        <v>24</v>
      </c>
    </row>
    <row r="326" spans="1:22" x14ac:dyDescent="0.25">
      <c r="A326" t="s">
        <v>1275</v>
      </c>
      <c r="B326">
        <v>-5.67</v>
      </c>
      <c r="C326">
        <v>122.089</v>
      </c>
      <c r="D326">
        <v>10</v>
      </c>
      <c r="E326">
        <v>5.4</v>
      </c>
      <c r="F326" t="s">
        <v>23</v>
      </c>
      <c r="G326">
        <v>34</v>
      </c>
      <c r="H326">
        <v>65.2</v>
      </c>
      <c r="J326">
        <v>0.95</v>
      </c>
      <c r="K326" t="s">
        <v>24</v>
      </c>
      <c r="L326" t="s">
        <v>1276</v>
      </c>
      <c r="M326" t="s">
        <v>1277</v>
      </c>
      <c r="N326" t="s">
        <v>1278</v>
      </c>
      <c r="O326" t="s">
        <v>28</v>
      </c>
      <c r="S326">
        <v>19</v>
      </c>
      <c r="T326" t="s">
        <v>29</v>
      </c>
      <c r="U326" t="s">
        <v>24</v>
      </c>
      <c r="V326" t="s">
        <v>24</v>
      </c>
    </row>
    <row r="327" spans="1:22" x14ac:dyDescent="0.25">
      <c r="A327" t="s">
        <v>1279</v>
      </c>
      <c r="B327">
        <v>-5.5469999999999997</v>
      </c>
      <c r="C327">
        <v>122.205</v>
      </c>
      <c r="D327">
        <v>10</v>
      </c>
      <c r="E327">
        <v>4.5</v>
      </c>
      <c r="F327" t="s">
        <v>23</v>
      </c>
      <c r="G327">
        <v>12</v>
      </c>
      <c r="H327">
        <v>132.4</v>
      </c>
      <c r="J327">
        <v>1.41</v>
      </c>
      <c r="K327" t="s">
        <v>24</v>
      </c>
      <c r="L327" t="s">
        <v>1280</v>
      </c>
      <c r="M327" t="s">
        <v>1281</v>
      </c>
      <c r="N327" t="s">
        <v>1282</v>
      </c>
      <c r="O327" t="s">
        <v>28</v>
      </c>
      <c r="S327">
        <v>4</v>
      </c>
      <c r="T327" t="s">
        <v>29</v>
      </c>
      <c r="U327" t="s">
        <v>24</v>
      </c>
      <c r="V327" t="s">
        <v>24</v>
      </c>
    </row>
    <row r="328" spans="1:22" x14ac:dyDescent="0.25">
      <c r="A328" t="s">
        <v>1283</v>
      </c>
      <c r="B328">
        <v>-5.6639999999999997</v>
      </c>
      <c r="C328">
        <v>122.22799999999999</v>
      </c>
      <c r="D328">
        <v>10</v>
      </c>
      <c r="E328">
        <v>4.8</v>
      </c>
      <c r="F328" t="s">
        <v>23</v>
      </c>
      <c r="G328">
        <v>20</v>
      </c>
      <c r="H328">
        <v>128</v>
      </c>
      <c r="J328">
        <v>1.04</v>
      </c>
      <c r="K328" t="s">
        <v>24</v>
      </c>
      <c r="L328" t="s">
        <v>1284</v>
      </c>
      <c r="M328" t="s">
        <v>1285</v>
      </c>
      <c r="N328" t="s">
        <v>1286</v>
      </c>
      <c r="O328" t="s">
        <v>28</v>
      </c>
      <c r="S328">
        <v>9</v>
      </c>
      <c r="T328" t="s">
        <v>29</v>
      </c>
      <c r="U328" t="s">
        <v>24</v>
      </c>
      <c r="V328" t="s">
        <v>24</v>
      </c>
    </row>
    <row r="329" spans="1:22" x14ac:dyDescent="0.25">
      <c r="A329" t="s">
        <v>1287</v>
      </c>
      <c r="B329">
        <v>-5.5030000000000001</v>
      </c>
      <c r="C329">
        <v>122.131</v>
      </c>
      <c r="D329">
        <v>10</v>
      </c>
      <c r="E329">
        <v>4.8</v>
      </c>
      <c r="F329" t="s">
        <v>23</v>
      </c>
      <c r="G329">
        <v>40</v>
      </c>
      <c r="H329">
        <v>81.2</v>
      </c>
      <c r="J329">
        <v>0.86</v>
      </c>
      <c r="K329" t="s">
        <v>24</v>
      </c>
      <c r="L329" t="s">
        <v>1288</v>
      </c>
      <c r="M329" t="s">
        <v>1289</v>
      </c>
      <c r="N329" t="s">
        <v>1290</v>
      </c>
      <c r="O329" t="s">
        <v>28</v>
      </c>
      <c r="Q329">
        <v>0</v>
      </c>
      <c r="S329">
        <v>17</v>
      </c>
      <c r="T329" t="s">
        <v>29</v>
      </c>
      <c r="U329" t="s">
        <v>24</v>
      </c>
      <c r="V329" t="s">
        <v>24</v>
      </c>
    </row>
    <row r="330" spans="1:22" x14ac:dyDescent="0.25">
      <c r="A330" t="s">
        <v>1291</v>
      </c>
      <c r="B330">
        <v>-5.585</v>
      </c>
      <c r="C330">
        <v>122.16</v>
      </c>
      <c r="D330">
        <v>10</v>
      </c>
      <c r="E330">
        <v>4.9000000000000004</v>
      </c>
      <c r="F330" t="s">
        <v>863</v>
      </c>
      <c r="G330">
        <v>37</v>
      </c>
      <c r="H330">
        <v>69.5</v>
      </c>
      <c r="J330">
        <v>0.77</v>
      </c>
      <c r="K330" t="s">
        <v>24</v>
      </c>
      <c r="L330" t="s">
        <v>1292</v>
      </c>
      <c r="M330" t="s">
        <v>1293</v>
      </c>
      <c r="N330" t="s">
        <v>1294</v>
      </c>
      <c r="O330" t="s">
        <v>28</v>
      </c>
      <c r="Q330">
        <v>0</v>
      </c>
      <c r="T330" t="s">
        <v>29</v>
      </c>
      <c r="U330" t="s">
        <v>24</v>
      </c>
      <c r="V330" t="s">
        <v>322</v>
      </c>
    </row>
    <row r="331" spans="1:22" x14ac:dyDescent="0.25">
      <c r="A331" t="s">
        <v>1295</v>
      </c>
      <c r="B331">
        <v>-6.2270000000000003</v>
      </c>
      <c r="C331">
        <v>123.643</v>
      </c>
      <c r="D331">
        <v>642</v>
      </c>
      <c r="E331">
        <v>5.0999999999999996</v>
      </c>
      <c r="F331" t="s">
        <v>863</v>
      </c>
      <c r="G331">
        <v>85</v>
      </c>
      <c r="H331">
        <v>58.4</v>
      </c>
      <c r="J331">
        <v>0.86</v>
      </c>
      <c r="K331" t="s">
        <v>24</v>
      </c>
      <c r="L331" t="s">
        <v>1296</v>
      </c>
      <c r="M331" t="s">
        <v>1297</v>
      </c>
      <c r="N331" t="s">
        <v>1298</v>
      </c>
      <c r="O331" t="s">
        <v>28</v>
      </c>
      <c r="Q331">
        <v>4.5</v>
      </c>
      <c r="T331" t="s">
        <v>29</v>
      </c>
      <c r="U331" t="s">
        <v>24</v>
      </c>
      <c r="V331" t="s">
        <v>322</v>
      </c>
    </row>
    <row r="332" spans="1:22" x14ac:dyDescent="0.25">
      <c r="A332" t="s">
        <v>1299</v>
      </c>
      <c r="B332">
        <v>-7.234</v>
      </c>
      <c r="C332">
        <v>120.47199999999999</v>
      </c>
      <c r="D332">
        <v>540.79999999999995</v>
      </c>
      <c r="E332">
        <v>5.2</v>
      </c>
      <c r="F332" t="s">
        <v>863</v>
      </c>
      <c r="G332">
        <v>200</v>
      </c>
      <c r="H332">
        <v>30.2</v>
      </c>
      <c r="J332">
        <v>0.77</v>
      </c>
      <c r="K332" t="s">
        <v>24</v>
      </c>
      <c r="L332" t="s">
        <v>1300</v>
      </c>
      <c r="M332" t="s">
        <v>1301</v>
      </c>
      <c r="N332" t="s">
        <v>65</v>
      </c>
      <c r="O332" t="s">
        <v>28</v>
      </c>
      <c r="T332" t="s">
        <v>29</v>
      </c>
      <c r="U332" t="s">
        <v>24</v>
      </c>
      <c r="V332" t="s">
        <v>322</v>
      </c>
    </row>
    <row r="333" spans="1:22" x14ac:dyDescent="0.25">
      <c r="A333" t="s">
        <v>1302</v>
      </c>
      <c r="B333">
        <v>-7.4580000000000002</v>
      </c>
      <c r="C333">
        <v>122.904</v>
      </c>
      <c r="D333">
        <v>543.70000000000005</v>
      </c>
      <c r="E333">
        <v>4.7</v>
      </c>
      <c r="F333" t="s">
        <v>23</v>
      </c>
      <c r="G333">
        <v>72</v>
      </c>
      <c r="H333">
        <v>50</v>
      </c>
      <c r="J333">
        <v>0.8</v>
      </c>
      <c r="K333" t="s">
        <v>24</v>
      </c>
      <c r="L333" t="s">
        <v>1303</v>
      </c>
      <c r="M333" t="s">
        <v>1304</v>
      </c>
      <c r="N333" t="s">
        <v>1305</v>
      </c>
      <c r="O333" t="s">
        <v>28</v>
      </c>
      <c r="Q333">
        <v>6.6</v>
      </c>
      <c r="S333">
        <v>23</v>
      </c>
      <c r="T333" t="s">
        <v>29</v>
      </c>
      <c r="U333" t="s">
        <v>24</v>
      </c>
      <c r="V333" t="s">
        <v>24</v>
      </c>
    </row>
    <row r="334" spans="1:22" x14ac:dyDescent="0.25">
      <c r="A334" t="s">
        <v>1306</v>
      </c>
      <c r="B334">
        <v>-6.9589999999999996</v>
      </c>
      <c r="C334">
        <v>124.614</v>
      </c>
      <c r="D334">
        <v>34.9</v>
      </c>
      <c r="E334">
        <v>4.8</v>
      </c>
      <c r="F334" t="s">
        <v>23</v>
      </c>
      <c r="G334">
        <v>36</v>
      </c>
      <c r="H334">
        <v>64.599999999999994</v>
      </c>
      <c r="J334">
        <v>1.1499999999999999</v>
      </c>
      <c r="K334" t="s">
        <v>24</v>
      </c>
      <c r="L334" t="s">
        <v>1307</v>
      </c>
      <c r="M334" t="s">
        <v>1308</v>
      </c>
      <c r="N334" t="s">
        <v>61</v>
      </c>
      <c r="O334" t="s">
        <v>28</v>
      </c>
      <c r="Q334">
        <v>16.100000000000001</v>
      </c>
      <c r="S334">
        <v>13</v>
      </c>
      <c r="T334" t="s">
        <v>29</v>
      </c>
      <c r="U334" t="s">
        <v>24</v>
      </c>
      <c r="V334" t="s">
        <v>24</v>
      </c>
    </row>
    <row r="335" spans="1:22" x14ac:dyDescent="0.25">
      <c r="A335" t="s">
        <v>1309</v>
      </c>
      <c r="B335">
        <v>-6.87</v>
      </c>
      <c r="C335">
        <v>124.428</v>
      </c>
      <c r="D335">
        <v>617</v>
      </c>
      <c r="E335">
        <v>4.7</v>
      </c>
      <c r="F335" t="s">
        <v>23</v>
      </c>
      <c r="G335">
        <v>56</v>
      </c>
      <c r="H335">
        <v>39.9</v>
      </c>
      <c r="J335">
        <v>0.72</v>
      </c>
      <c r="K335" t="s">
        <v>24</v>
      </c>
      <c r="L335" t="s">
        <v>1310</v>
      </c>
      <c r="M335" t="s">
        <v>1311</v>
      </c>
      <c r="N335" t="s">
        <v>1312</v>
      </c>
      <c r="O335" t="s">
        <v>28</v>
      </c>
      <c r="Q335">
        <v>7.5</v>
      </c>
      <c r="S335">
        <v>15</v>
      </c>
      <c r="T335" t="s">
        <v>29</v>
      </c>
      <c r="U335" t="s">
        <v>24</v>
      </c>
      <c r="V335" t="s">
        <v>24</v>
      </c>
    </row>
    <row r="336" spans="1:22" x14ac:dyDescent="0.25">
      <c r="A336" t="s">
        <v>1313</v>
      </c>
      <c r="B336">
        <v>-6.1550000000000002</v>
      </c>
      <c r="C336">
        <v>124.46299999999999</v>
      </c>
      <c r="D336">
        <v>619.6</v>
      </c>
      <c r="E336">
        <v>4.8</v>
      </c>
      <c r="F336" t="s">
        <v>23</v>
      </c>
      <c r="G336">
        <v>38</v>
      </c>
      <c r="H336">
        <v>41.1</v>
      </c>
      <c r="J336">
        <v>0.6</v>
      </c>
      <c r="K336" t="s">
        <v>24</v>
      </c>
      <c r="L336" t="s">
        <v>1314</v>
      </c>
      <c r="M336" t="s">
        <v>1315</v>
      </c>
      <c r="N336" t="s">
        <v>1316</v>
      </c>
      <c r="O336" t="s">
        <v>28</v>
      </c>
      <c r="Q336">
        <v>8.5</v>
      </c>
      <c r="S336">
        <v>16</v>
      </c>
      <c r="T336" t="s">
        <v>29</v>
      </c>
      <c r="U336" t="s">
        <v>24</v>
      </c>
      <c r="V336" t="s">
        <v>24</v>
      </c>
    </row>
    <row r="337" spans="1:22" x14ac:dyDescent="0.25">
      <c r="A337" t="s">
        <v>1317</v>
      </c>
      <c r="B337">
        <v>-6.9009999999999998</v>
      </c>
      <c r="C337">
        <v>122.89100000000001</v>
      </c>
      <c r="D337">
        <v>663.6</v>
      </c>
      <c r="E337">
        <v>5.3</v>
      </c>
      <c r="F337" t="s">
        <v>863</v>
      </c>
      <c r="G337">
        <v>228</v>
      </c>
      <c r="H337">
        <v>38.9</v>
      </c>
      <c r="J337">
        <v>0.73</v>
      </c>
      <c r="K337" t="s">
        <v>24</v>
      </c>
      <c r="L337" t="s">
        <v>1318</v>
      </c>
      <c r="M337" t="s">
        <v>1319</v>
      </c>
      <c r="N337" t="s">
        <v>515</v>
      </c>
      <c r="O337" t="s">
        <v>28</v>
      </c>
      <c r="T337" t="s">
        <v>29</v>
      </c>
      <c r="U337" t="s">
        <v>24</v>
      </c>
      <c r="V337" t="s">
        <v>322</v>
      </c>
    </row>
    <row r="338" spans="1:22" x14ac:dyDescent="0.25">
      <c r="A338" t="s">
        <v>1320</v>
      </c>
      <c r="B338">
        <v>-7.2169999999999996</v>
      </c>
      <c r="C338">
        <v>119.629</v>
      </c>
      <c r="D338">
        <v>409.3</v>
      </c>
      <c r="E338">
        <v>5.4</v>
      </c>
      <c r="F338" t="s">
        <v>863</v>
      </c>
      <c r="G338">
        <v>141</v>
      </c>
      <c r="H338">
        <v>33</v>
      </c>
      <c r="J338">
        <v>0.77</v>
      </c>
      <c r="K338" t="s">
        <v>24</v>
      </c>
      <c r="L338" t="s">
        <v>1321</v>
      </c>
      <c r="M338" t="s">
        <v>1322</v>
      </c>
      <c r="N338" t="s">
        <v>1323</v>
      </c>
      <c r="O338" t="s">
        <v>28</v>
      </c>
      <c r="T338" t="s">
        <v>29</v>
      </c>
      <c r="U338" t="s">
        <v>24</v>
      </c>
      <c r="V338" t="s">
        <v>322</v>
      </c>
    </row>
    <row r="339" spans="1:22" x14ac:dyDescent="0.25">
      <c r="A339" t="s">
        <v>1324</v>
      </c>
      <c r="B339">
        <v>-7.3029999999999999</v>
      </c>
      <c r="C339">
        <v>120.73699999999999</v>
      </c>
      <c r="D339">
        <v>567.20000000000005</v>
      </c>
      <c r="E339">
        <v>4.5</v>
      </c>
      <c r="F339" t="s">
        <v>23</v>
      </c>
      <c r="G339">
        <v>47</v>
      </c>
      <c r="H339">
        <v>63.3</v>
      </c>
      <c r="J339">
        <v>0.75</v>
      </c>
      <c r="K339" t="s">
        <v>24</v>
      </c>
      <c r="L339" t="s">
        <v>1325</v>
      </c>
      <c r="M339" t="s">
        <v>1326</v>
      </c>
      <c r="N339" t="s">
        <v>1327</v>
      </c>
      <c r="O339" t="s">
        <v>28</v>
      </c>
      <c r="Q339">
        <v>7.7</v>
      </c>
      <c r="S339">
        <v>21</v>
      </c>
      <c r="T339" t="s">
        <v>29</v>
      </c>
      <c r="U339" t="s">
        <v>24</v>
      </c>
      <c r="V339" t="s">
        <v>24</v>
      </c>
    </row>
    <row r="340" spans="1:22" x14ac:dyDescent="0.25">
      <c r="A340" t="s">
        <v>1328</v>
      </c>
      <c r="B340">
        <v>-7.3010000000000002</v>
      </c>
      <c r="C340">
        <v>120.24299999999999</v>
      </c>
      <c r="D340">
        <v>525.4</v>
      </c>
      <c r="E340">
        <v>5.2</v>
      </c>
      <c r="F340" t="s">
        <v>863</v>
      </c>
      <c r="G340">
        <v>168</v>
      </c>
      <c r="H340">
        <v>34.200000000000003</v>
      </c>
      <c r="J340">
        <v>0.71</v>
      </c>
      <c r="K340" t="s">
        <v>24</v>
      </c>
      <c r="L340" t="s">
        <v>1329</v>
      </c>
      <c r="M340" t="s">
        <v>1330</v>
      </c>
      <c r="N340" t="s">
        <v>1056</v>
      </c>
      <c r="O340" t="s">
        <v>28</v>
      </c>
      <c r="T340" t="s">
        <v>29</v>
      </c>
      <c r="U340" t="s">
        <v>24</v>
      </c>
      <c r="V340" t="s">
        <v>322</v>
      </c>
    </row>
    <row r="341" spans="1:22" x14ac:dyDescent="0.25">
      <c r="A341" t="s">
        <v>1331</v>
      </c>
      <c r="B341">
        <v>-7.1150000000000002</v>
      </c>
      <c r="C341">
        <v>119.971</v>
      </c>
      <c r="D341">
        <v>397.2</v>
      </c>
      <c r="E341">
        <v>4.5999999999999996</v>
      </c>
      <c r="F341" t="s">
        <v>23</v>
      </c>
      <c r="G341">
        <v>37</v>
      </c>
      <c r="H341">
        <v>66.400000000000006</v>
      </c>
      <c r="J341">
        <v>0.67</v>
      </c>
      <c r="K341" t="s">
        <v>24</v>
      </c>
      <c r="L341" t="s">
        <v>1332</v>
      </c>
      <c r="M341" t="s">
        <v>1333</v>
      </c>
      <c r="N341" t="s">
        <v>1334</v>
      </c>
      <c r="O341" t="s">
        <v>28</v>
      </c>
      <c r="Q341">
        <v>15.5</v>
      </c>
      <c r="S341">
        <v>16</v>
      </c>
      <c r="T341" t="s">
        <v>29</v>
      </c>
      <c r="U341" t="s">
        <v>24</v>
      </c>
      <c r="V341" t="s">
        <v>24</v>
      </c>
    </row>
    <row r="342" spans="1:22" x14ac:dyDescent="0.25">
      <c r="A342" t="s">
        <v>1335</v>
      </c>
      <c r="B342">
        <v>-7.2160000000000002</v>
      </c>
      <c r="C342">
        <v>119.627</v>
      </c>
      <c r="D342">
        <v>472.8</v>
      </c>
      <c r="E342">
        <v>4.5999999999999996</v>
      </c>
      <c r="F342" t="s">
        <v>23</v>
      </c>
      <c r="G342">
        <v>60</v>
      </c>
      <c r="H342">
        <v>61.7</v>
      </c>
      <c r="J342">
        <v>0.59</v>
      </c>
      <c r="K342" t="s">
        <v>24</v>
      </c>
      <c r="L342" t="s">
        <v>1336</v>
      </c>
      <c r="M342" t="s">
        <v>1337</v>
      </c>
      <c r="N342" t="s">
        <v>1323</v>
      </c>
      <c r="O342" t="s">
        <v>28</v>
      </c>
      <c r="Q342">
        <v>7.9</v>
      </c>
      <c r="S342">
        <v>25</v>
      </c>
      <c r="T342" t="s">
        <v>29</v>
      </c>
      <c r="U342" t="s">
        <v>24</v>
      </c>
      <c r="V342" t="s">
        <v>24</v>
      </c>
    </row>
    <row r="343" spans="1:22" x14ac:dyDescent="0.25">
      <c r="A343" t="s">
        <v>1338</v>
      </c>
      <c r="B343">
        <v>-6.4450000000000003</v>
      </c>
      <c r="C343">
        <v>122.387</v>
      </c>
      <c r="D343">
        <v>24</v>
      </c>
      <c r="E343">
        <v>4.9000000000000004</v>
      </c>
      <c r="F343" t="s">
        <v>23</v>
      </c>
      <c r="G343">
        <v>27</v>
      </c>
      <c r="H343">
        <v>83.8</v>
      </c>
      <c r="J343">
        <v>0.83</v>
      </c>
      <c r="K343" t="s">
        <v>24</v>
      </c>
      <c r="L343" t="s">
        <v>1339</v>
      </c>
      <c r="M343" t="s">
        <v>1340</v>
      </c>
      <c r="N343" t="s">
        <v>1341</v>
      </c>
      <c r="O343" t="s">
        <v>28</v>
      </c>
      <c r="Q343">
        <v>24.4</v>
      </c>
      <c r="S343">
        <v>10</v>
      </c>
      <c r="T343" t="s">
        <v>29</v>
      </c>
      <c r="U343" t="s">
        <v>24</v>
      </c>
      <c r="V343" t="s">
        <v>24</v>
      </c>
    </row>
    <row r="344" spans="1:22" x14ac:dyDescent="0.25">
      <c r="A344" t="s">
        <v>1342</v>
      </c>
      <c r="B344">
        <v>-7.21</v>
      </c>
      <c r="C344">
        <v>122.65300000000001</v>
      </c>
      <c r="D344">
        <v>586.29999999999995</v>
      </c>
      <c r="E344">
        <v>5.3</v>
      </c>
      <c r="F344" t="s">
        <v>863</v>
      </c>
      <c r="G344">
        <v>144</v>
      </c>
      <c r="H344">
        <v>39.6</v>
      </c>
      <c r="J344">
        <v>0.75</v>
      </c>
      <c r="K344" t="s">
        <v>24</v>
      </c>
      <c r="L344" t="s">
        <v>1343</v>
      </c>
      <c r="M344" t="s">
        <v>1344</v>
      </c>
      <c r="N344" t="s">
        <v>1345</v>
      </c>
      <c r="O344" t="s">
        <v>28</v>
      </c>
      <c r="T344" t="s">
        <v>29</v>
      </c>
      <c r="U344" t="s">
        <v>24</v>
      </c>
      <c r="V344" t="s">
        <v>322</v>
      </c>
    </row>
    <row r="345" spans="1:22" x14ac:dyDescent="0.25">
      <c r="A345" t="s">
        <v>1346</v>
      </c>
      <c r="B345">
        <v>-6.9909999999999997</v>
      </c>
      <c r="C345">
        <v>125.11499999999999</v>
      </c>
      <c r="D345">
        <v>525.5</v>
      </c>
      <c r="E345">
        <v>5.3</v>
      </c>
      <c r="F345" t="s">
        <v>863</v>
      </c>
      <c r="G345">
        <v>252</v>
      </c>
      <c r="H345">
        <v>39.700000000000003</v>
      </c>
      <c r="J345">
        <v>0.76</v>
      </c>
      <c r="K345" t="s">
        <v>24</v>
      </c>
      <c r="L345" t="s">
        <v>1347</v>
      </c>
      <c r="M345" t="s">
        <v>1348</v>
      </c>
      <c r="N345" t="s">
        <v>1349</v>
      </c>
      <c r="O345" t="s">
        <v>28</v>
      </c>
      <c r="T345" t="s">
        <v>29</v>
      </c>
      <c r="U345" t="s">
        <v>24</v>
      </c>
      <c r="V345" t="s">
        <v>322</v>
      </c>
    </row>
    <row r="346" spans="1:22" x14ac:dyDescent="0.25">
      <c r="A346" t="s">
        <v>1350</v>
      </c>
      <c r="B346">
        <v>-7.4710000000000001</v>
      </c>
      <c r="C346">
        <v>125.072</v>
      </c>
      <c r="D346">
        <v>384.3</v>
      </c>
      <c r="E346">
        <v>5.6</v>
      </c>
      <c r="F346" t="s">
        <v>734</v>
      </c>
      <c r="G346">
        <v>253</v>
      </c>
      <c r="H346">
        <v>39.6</v>
      </c>
      <c r="J346">
        <v>0.78</v>
      </c>
      <c r="K346" t="s">
        <v>24</v>
      </c>
      <c r="L346" t="s">
        <v>1351</v>
      </c>
      <c r="M346" t="s">
        <v>1352</v>
      </c>
      <c r="N346" t="s">
        <v>1353</v>
      </c>
      <c r="O346" t="s">
        <v>28</v>
      </c>
      <c r="T346" t="s">
        <v>29</v>
      </c>
      <c r="U346" t="s">
        <v>24</v>
      </c>
      <c r="V346" t="s">
        <v>24</v>
      </c>
    </row>
    <row r="347" spans="1:22" x14ac:dyDescent="0.25">
      <c r="A347" t="s">
        <v>1354</v>
      </c>
      <c r="B347">
        <v>-5.1189999999999998</v>
      </c>
      <c r="C347">
        <v>123.107</v>
      </c>
      <c r="D347">
        <v>0.9</v>
      </c>
      <c r="E347">
        <v>5.6</v>
      </c>
      <c r="F347" t="s">
        <v>863</v>
      </c>
      <c r="G347">
        <v>110</v>
      </c>
      <c r="H347">
        <v>37.9</v>
      </c>
      <c r="J347">
        <v>1.03</v>
      </c>
      <c r="K347" t="s">
        <v>24</v>
      </c>
      <c r="L347" t="s">
        <v>1355</v>
      </c>
      <c r="M347" t="s">
        <v>1356</v>
      </c>
      <c r="N347" t="s">
        <v>1357</v>
      </c>
      <c r="O347" t="s">
        <v>28</v>
      </c>
      <c r="Q347">
        <v>14.3</v>
      </c>
      <c r="T347" t="s">
        <v>29</v>
      </c>
      <c r="U347" t="s">
        <v>24</v>
      </c>
      <c r="V347" t="s">
        <v>322</v>
      </c>
    </row>
    <row r="348" spans="1:22" x14ac:dyDescent="0.25">
      <c r="A348" t="s">
        <v>1358</v>
      </c>
      <c r="B348">
        <v>-4.9859999999999998</v>
      </c>
      <c r="C348">
        <v>123.32599999999999</v>
      </c>
      <c r="D348">
        <v>2.9</v>
      </c>
      <c r="E348">
        <v>4.7</v>
      </c>
      <c r="F348" t="s">
        <v>23</v>
      </c>
      <c r="G348">
        <v>31</v>
      </c>
      <c r="H348">
        <v>108</v>
      </c>
      <c r="J348">
        <v>1.01</v>
      </c>
      <c r="K348" t="s">
        <v>24</v>
      </c>
      <c r="L348" t="s">
        <v>1359</v>
      </c>
      <c r="M348" t="s">
        <v>1360</v>
      </c>
      <c r="N348" t="s">
        <v>1361</v>
      </c>
      <c r="O348" t="s">
        <v>28</v>
      </c>
      <c r="Q348">
        <v>33.700000000000003</v>
      </c>
      <c r="S348">
        <v>7</v>
      </c>
      <c r="T348" t="s">
        <v>29</v>
      </c>
      <c r="U348" t="s">
        <v>24</v>
      </c>
      <c r="V348" t="s">
        <v>24</v>
      </c>
    </row>
    <row r="349" spans="1:22" x14ac:dyDescent="0.25">
      <c r="A349" t="s">
        <v>1362</v>
      </c>
      <c r="B349">
        <v>-7.1829999999999998</v>
      </c>
      <c r="C349">
        <v>123.24</v>
      </c>
      <c r="D349">
        <v>579.79999999999995</v>
      </c>
      <c r="E349">
        <v>4.8</v>
      </c>
      <c r="F349" t="s">
        <v>23</v>
      </c>
      <c r="G349">
        <v>17</v>
      </c>
      <c r="H349">
        <v>136.19999999999999</v>
      </c>
      <c r="J349">
        <v>0.63</v>
      </c>
      <c r="K349" t="s">
        <v>24</v>
      </c>
      <c r="L349" t="s">
        <v>1363</v>
      </c>
      <c r="M349" t="s">
        <v>1364</v>
      </c>
      <c r="N349" t="s">
        <v>1365</v>
      </c>
      <c r="O349" t="s">
        <v>28</v>
      </c>
      <c r="Q349">
        <v>17.2</v>
      </c>
      <c r="S349">
        <v>5</v>
      </c>
      <c r="T349" t="s">
        <v>29</v>
      </c>
      <c r="U349" t="s">
        <v>24</v>
      </c>
      <c r="V349" t="s">
        <v>24</v>
      </c>
    </row>
    <row r="350" spans="1:22" x14ac:dyDescent="0.25">
      <c r="A350" t="s">
        <v>1366</v>
      </c>
      <c r="B350">
        <v>-7.1689999999999996</v>
      </c>
      <c r="C350">
        <v>125.01900000000001</v>
      </c>
      <c r="D350">
        <v>511.3</v>
      </c>
      <c r="E350">
        <v>4.5999999999999996</v>
      </c>
      <c r="F350" t="s">
        <v>23</v>
      </c>
      <c r="G350">
        <v>14</v>
      </c>
      <c r="H350">
        <v>142.5</v>
      </c>
      <c r="J350">
        <v>0.71</v>
      </c>
      <c r="K350" t="s">
        <v>24</v>
      </c>
      <c r="L350" t="s">
        <v>1367</v>
      </c>
      <c r="M350" t="s">
        <v>1368</v>
      </c>
      <c r="N350" t="s">
        <v>1369</v>
      </c>
      <c r="O350" t="s">
        <v>28</v>
      </c>
      <c r="Q350">
        <v>20.2</v>
      </c>
      <c r="S350">
        <v>6</v>
      </c>
      <c r="T350" t="s">
        <v>29</v>
      </c>
      <c r="U350" t="s">
        <v>24</v>
      </c>
      <c r="V350" t="s">
        <v>24</v>
      </c>
    </row>
    <row r="351" spans="1:22" x14ac:dyDescent="0.25">
      <c r="A351" t="s">
        <v>1370</v>
      </c>
      <c r="B351">
        <v>-7.5179999999999998</v>
      </c>
      <c r="C351">
        <v>125.17400000000001</v>
      </c>
      <c r="D351">
        <v>369.3</v>
      </c>
      <c r="E351">
        <v>4.7</v>
      </c>
      <c r="F351" t="s">
        <v>23</v>
      </c>
      <c r="G351">
        <v>26</v>
      </c>
      <c r="H351">
        <v>112.1</v>
      </c>
      <c r="J351">
        <v>0.4</v>
      </c>
      <c r="K351" t="s">
        <v>24</v>
      </c>
      <c r="L351" t="s">
        <v>1371</v>
      </c>
      <c r="M351" t="s">
        <v>1372</v>
      </c>
      <c r="N351" t="s">
        <v>1373</v>
      </c>
      <c r="O351" t="s">
        <v>28</v>
      </c>
      <c r="Q351">
        <v>11.1</v>
      </c>
      <c r="S351">
        <v>11</v>
      </c>
      <c r="T351" t="s">
        <v>29</v>
      </c>
      <c r="U351" t="s">
        <v>24</v>
      </c>
      <c r="V351" t="s">
        <v>24</v>
      </c>
    </row>
    <row r="352" spans="1:22" x14ac:dyDescent="0.25">
      <c r="A352" t="s">
        <v>1374</v>
      </c>
      <c r="B352">
        <v>-7.2190000000000003</v>
      </c>
      <c r="C352">
        <v>120.10599999999999</v>
      </c>
      <c r="D352">
        <v>572</v>
      </c>
      <c r="E352">
        <v>6.3</v>
      </c>
      <c r="F352" t="s">
        <v>734</v>
      </c>
      <c r="G352">
        <v>357</v>
      </c>
      <c r="H352">
        <v>29.5</v>
      </c>
      <c r="J352">
        <v>0.92</v>
      </c>
      <c r="K352" t="s">
        <v>24</v>
      </c>
      <c r="L352" t="s">
        <v>1375</v>
      </c>
      <c r="M352" t="s">
        <v>1376</v>
      </c>
      <c r="N352" t="s">
        <v>1377</v>
      </c>
      <c r="O352" t="s">
        <v>28</v>
      </c>
      <c r="T352" t="s">
        <v>29</v>
      </c>
      <c r="U352" t="s">
        <v>24</v>
      </c>
      <c r="V352" t="s">
        <v>24</v>
      </c>
    </row>
    <row r="353" spans="1:22" x14ac:dyDescent="0.25">
      <c r="A353" t="s">
        <v>1378</v>
      </c>
      <c r="B353">
        <v>-7.2839999999999998</v>
      </c>
      <c r="C353">
        <v>122.95699999999999</v>
      </c>
      <c r="D353">
        <v>503.4</v>
      </c>
      <c r="E353">
        <v>4.7</v>
      </c>
      <c r="F353" t="s">
        <v>23</v>
      </c>
      <c r="G353">
        <v>16</v>
      </c>
      <c r="H353">
        <v>103.6</v>
      </c>
      <c r="J353">
        <v>0.57999999999999996</v>
      </c>
      <c r="K353" t="s">
        <v>24</v>
      </c>
      <c r="L353" t="s">
        <v>1379</v>
      </c>
      <c r="M353" t="s">
        <v>1380</v>
      </c>
      <c r="N353" t="s">
        <v>866</v>
      </c>
      <c r="O353" t="s">
        <v>28</v>
      </c>
      <c r="Q353">
        <v>13.7</v>
      </c>
      <c r="S353">
        <v>3</v>
      </c>
      <c r="T353" t="s">
        <v>29</v>
      </c>
      <c r="U353" t="s">
        <v>24</v>
      </c>
      <c r="V353" t="s">
        <v>24</v>
      </c>
    </row>
    <row r="354" spans="1:22" x14ac:dyDescent="0.25">
      <c r="A354" t="s">
        <v>1381</v>
      </c>
      <c r="B354">
        <v>-7.4950000000000001</v>
      </c>
      <c r="C354">
        <v>122.809</v>
      </c>
      <c r="D354">
        <v>568.20000000000005</v>
      </c>
      <c r="E354">
        <v>4.7</v>
      </c>
      <c r="F354" t="s">
        <v>23</v>
      </c>
      <c r="G354">
        <v>75</v>
      </c>
      <c r="H354">
        <v>40.4</v>
      </c>
      <c r="J354">
        <v>0.74</v>
      </c>
      <c r="K354" t="s">
        <v>24</v>
      </c>
      <c r="L354" t="s">
        <v>1382</v>
      </c>
      <c r="M354" t="s">
        <v>1383</v>
      </c>
      <c r="N354" t="s">
        <v>870</v>
      </c>
      <c r="O354" t="s">
        <v>28</v>
      </c>
      <c r="Q354">
        <v>6.3</v>
      </c>
      <c r="S354">
        <v>29</v>
      </c>
      <c r="T354" t="s">
        <v>29</v>
      </c>
      <c r="U354" t="s">
        <v>24</v>
      </c>
      <c r="V354" t="s">
        <v>24</v>
      </c>
    </row>
    <row r="355" spans="1:22" x14ac:dyDescent="0.25">
      <c r="A355" t="s">
        <v>1384</v>
      </c>
      <c r="B355">
        <v>-7.2590000000000003</v>
      </c>
      <c r="C355">
        <v>123.16</v>
      </c>
      <c r="D355">
        <v>547.29999999999995</v>
      </c>
      <c r="E355">
        <v>4.5999999999999996</v>
      </c>
      <c r="F355" t="s">
        <v>23</v>
      </c>
      <c r="G355">
        <v>16</v>
      </c>
      <c r="H355">
        <v>104.5</v>
      </c>
      <c r="J355">
        <v>1.23</v>
      </c>
      <c r="K355" t="s">
        <v>24</v>
      </c>
      <c r="L355" t="s">
        <v>1385</v>
      </c>
      <c r="M355" t="s">
        <v>1386</v>
      </c>
      <c r="N355" t="s">
        <v>1387</v>
      </c>
      <c r="O355" t="s">
        <v>28</v>
      </c>
      <c r="Q355">
        <v>15.5</v>
      </c>
      <c r="S355">
        <v>4</v>
      </c>
      <c r="T355" t="s">
        <v>29</v>
      </c>
      <c r="U355" t="s">
        <v>24</v>
      </c>
      <c r="V355" t="s">
        <v>24</v>
      </c>
    </row>
    <row r="356" spans="1:22" x14ac:dyDescent="0.25">
      <c r="A356" t="s">
        <v>1388</v>
      </c>
      <c r="B356">
        <v>-6.2519999999999998</v>
      </c>
      <c r="C356">
        <v>122.002</v>
      </c>
      <c r="D356">
        <v>10</v>
      </c>
      <c r="E356">
        <v>4.8</v>
      </c>
      <c r="F356" t="s">
        <v>23</v>
      </c>
      <c r="G356">
        <v>30</v>
      </c>
      <c r="H356">
        <v>122.8</v>
      </c>
      <c r="J356">
        <v>0.82</v>
      </c>
      <c r="K356" t="s">
        <v>24</v>
      </c>
      <c r="L356" t="s">
        <v>1389</v>
      </c>
      <c r="M356" t="s">
        <v>1390</v>
      </c>
      <c r="N356" t="s">
        <v>1391</v>
      </c>
      <c r="O356" t="s">
        <v>28</v>
      </c>
      <c r="S356">
        <v>13</v>
      </c>
      <c r="T356" t="s">
        <v>29</v>
      </c>
      <c r="U356" t="s">
        <v>24</v>
      </c>
      <c r="V356" t="s">
        <v>24</v>
      </c>
    </row>
    <row r="357" spans="1:22" x14ac:dyDescent="0.25">
      <c r="A357" t="s">
        <v>1392</v>
      </c>
      <c r="B357">
        <v>-5.202</v>
      </c>
      <c r="C357">
        <v>123.58199999999999</v>
      </c>
      <c r="D357">
        <v>10.5</v>
      </c>
      <c r="E357">
        <v>5</v>
      </c>
      <c r="F357" t="s">
        <v>23</v>
      </c>
      <c r="G357">
        <v>36</v>
      </c>
      <c r="H357">
        <v>98.5</v>
      </c>
      <c r="J357">
        <v>1.08</v>
      </c>
      <c r="K357" t="s">
        <v>24</v>
      </c>
      <c r="L357" t="s">
        <v>1393</v>
      </c>
      <c r="M357" t="s">
        <v>1394</v>
      </c>
      <c r="N357" t="s">
        <v>1395</v>
      </c>
      <c r="O357" t="s">
        <v>28</v>
      </c>
      <c r="Q357">
        <v>37.6</v>
      </c>
      <c r="S357">
        <v>19</v>
      </c>
      <c r="T357" t="s">
        <v>29</v>
      </c>
      <c r="U357" t="s">
        <v>24</v>
      </c>
      <c r="V357" t="s">
        <v>24</v>
      </c>
    </row>
    <row r="358" spans="1:22" x14ac:dyDescent="0.25">
      <c r="A358" t="s">
        <v>1396</v>
      </c>
      <c r="B358">
        <v>-7.2030000000000003</v>
      </c>
      <c r="C358">
        <v>121.16200000000001</v>
      </c>
      <c r="D358">
        <v>533.9</v>
      </c>
      <c r="E358">
        <v>4.5999999999999996</v>
      </c>
      <c r="F358" t="s">
        <v>23</v>
      </c>
      <c r="G358">
        <v>19</v>
      </c>
      <c r="H358">
        <v>60.6</v>
      </c>
      <c r="J358">
        <v>0.77</v>
      </c>
      <c r="K358" t="s">
        <v>24</v>
      </c>
      <c r="L358" t="s">
        <v>1397</v>
      </c>
      <c r="M358" t="s">
        <v>1398</v>
      </c>
      <c r="N358" t="s">
        <v>1399</v>
      </c>
      <c r="O358" t="s">
        <v>28</v>
      </c>
      <c r="Q358">
        <v>16.3</v>
      </c>
      <c r="S358">
        <v>2</v>
      </c>
      <c r="T358" t="s">
        <v>29</v>
      </c>
      <c r="U358" t="s">
        <v>24</v>
      </c>
      <c r="V358" t="s">
        <v>24</v>
      </c>
    </row>
    <row r="359" spans="1:22" x14ac:dyDescent="0.25">
      <c r="A359" t="s">
        <v>1400</v>
      </c>
      <c r="B359">
        <v>-7.1070000000000002</v>
      </c>
      <c r="C359">
        <v>120.339</v>
      </c>
      <c r="D359">
        <v>589.20000000000005</v>
      </c>
      <c r="E359">
        <v>4.5999999999999996</v>
      </c>
      <c r="F359" t="s">
        <v>23</v>
      </c>
      <c r="G359">
        <v>84</v>
      </c>
      <c r="H359">
        <v>55.2</v>
      </c>
      <c r="J359">
        <v>0.68</v>
      </c>
      <c r="K359" t="s">
        <v>24</v>
      </c>
      <c r="L359" t="s">
        <v>1401</v>
      </c>
      <c r="M359" t="s">
        <v>1402</v>
      </c>
      <c r="N359" t="s">
        <v>1403</v>
      </c>
      <c r="O359" t="s">
        <v>28</v>
      </c>
      <c r="Q359">
        <v>4.2</v>
      </c>
      <c r="S359">
        <v>26</v>
      </c>
      <c r="T359" t="s">
        <v>29</v>
      </c>
      <c r="U359" t="s">
        <v>24</v>
      </c>
      <c r="V359" t="s">
        <v>24</v>
      </c>
    </row>
    <row r="360" spans="1:22" x14ac:dyDescent="0.25">
      <c r="A360" t="s">
        <v>1404</v>
      </c>
      <c r="B360">
        <v>-7.1390000000000002</v>
      </c>
      <c r="C360">
        <v>124.85899999999999</v>
      </c>
      <c r="D360">
        <v>495.2</v>
      </c>
      <c r="E360">
        <v>4.5999999999999996</v>
      </c>
      <c r="F360" t="s">
        <v>23</v>
      </c>
      <c r="G360">
        <v>72</v>
      </c>
      <c r="H360">
        <v>53.6</v>
      </c>
      <c r="J360">
        <v>0.78</v>
      </c>
      <c r="K360" t="s">
        <v>24</v>
      </c>
      <c r="L360" t="s">
        <v>1405</v>
      </c>
      <c r="M360" t="s">
        <v>1406</v>
      </c>
      <c r="N360" t="s">
        <v>1407</v>
      </c>
      <c r="O360" t="s">
        <v>28</v>
      </c>
      <c r="Q360">
        <v>5.9</v>
      </c>
      <c r="S360">
        <v>20</v>
      </c>
      <c r="T360" t="s">
        <v>29</v>
      </c>
      <c r="U360" t="s">
        <v>24</v>
      </c>
      <c r="V360" t="s">
        <v>24</v>
      </c>
    </row>
    <row r="361" spans="1:22" x14ac:dyDescent="0.25">
      <c r="A361" t="s">
        <v>1408</v>
      </c>
      <c r="B361">
        <v>-7.4189999999999996</v>
      </c>
      <c r="C361">
        <v>124.929</v>
      </c>
      <c r="D361">
        <v>379.4</v>
      </c>
      <c r="E361">
        <v>4.5999999999999996</v>
      </c>
      <c r="F361" t="s">
        <v>23</v>
      </c>
      <c r="G361">
        <v>6</v>
      </c>
      <c r="H361">
        <v>156.69999999999999</v>
      </c>
      <c r="J361">
        <v>0.77</v>
      </c>
      <c r="K361" t="s">
        <v>24</v>
      </c>
      <c r="L361" t="s">
        <v>1409</v>
      </c>
      <c r="M361" t="s">
        <v>1410</v>
      </c>
      <c r="N361" t="s">
        <v>77</v>
      </c>
      <c r="O361" t="s">
        <v>28</v>
      </c>
      <c r="Q361">
        <v>45.4</v>
      </c>
      <c r="S361">
        <v>2</v>
      </c>
      <c r="T361" t="s">
        <v>29</v>
      </c>
      <c r="U361" t="s">
        <v>24</v>
      </c>
      <c r="V361" t="s">
        <v>24</v>
      </c>
    </row>
    <row r="362" spans="1:22" x14ac:dyDescent="0.25">
      <c r="A362" t="s">
        <v>1411</v>
      </c>
      <c r="B362">
        <v>-4.6280000000000001</v>
      </c>
      <c r="C362">
        <v>125.152</v>
      </c>
      <c r="D362">
        <v>468.3</v>
      </c>
      <c r="E362">
        <v>4.7</v>
      </c>
      <c r="F362" t="s">
        <v>23</v>
      </c>
      <c r="G362">
        <v>11</v>
      </c>
      <c r="H362">
        <v>87.7</v>
      </c>
      <c r="J362">
        <v>1.3</v>
      </c>
      <c r="K362" t="s">
        <v>24</v>
      </c>
      <c r="L362" t="s">
        <v>1412</v>
      </c>
      <c r="M362" t="s">
        <v>1413</v>
      </c>
      <c r="N362" t="s">
        <v>1414</v>
      </c>
      <c r="O362" t="s">
        <v>28</v>
      </c>
      <c r="Q362">
        <v>18.2</v>
      </c>
      <c r="S362">
        <v>4</v>
      </c>
      <c r="T362" t="s">
        <v>29</v>
      </c>
      <c r="U362" t="s">
        <v>24</v>
      </c>
      <c r="V362" t="s">
        <v>24</v>
      </c>
    </row>
    <row r="363" spans="1:22" x14ac:dyDescent="0.25">
      <c r="A363" t="s">
        <v>1415</v>
      </c>
      <c r="B363">
        <v>-5.234</v>
      </c>
      <c r="C363">
        <v>124.152</v>
      </c>
      <c r="D363">
        <v>35</v>
      </c>
      <c r="E363">
        <v>4.9000000000000004</v>
      </c>
      <c r="F363" t="s">
        <v>23</v>
      </c>
      <c r="G363">
        <v>35</v>
      </c>
      <c r="H363">
        <v>64.599999999999994</v>
      </c>
      <c r="J363">
        <v>1.1100000000000001</v>
      </c>
      <c r="K363" t="s">
        <v>24</v>
      </c>
      <c r="L363" t="s">
        <v>1416</v>
      </c>
      <c r="M363" t="s">
        <v>1417</v>
      </c>
      <c r="N363" t="s">
        <v>1418</v>
      </c>
      <c r="O363" t="s">
        <v>28</v>
      </c>
      <c r="S363">
        <v>12</v>
      </c>
      <c r="T363" t="s">
        <v>29</v>
      </c>
      <c r="U363" t="s">
        <v>24</v>
      </c>
      <c r="V363" t="s">
        <v>24</v>
      </c>
    </row>
    <row r="364" spans="1:22" x14ac:dyDescent="0.25">
      <c r="A364" t="s">
        <v>1419</v>
      </c>
      <c r="B364">
        <v>-6.9939999999999998</v>
      </c>
      <c r="C364">
        <v>125.22799999999999</v>
      </c>
      <c r="D364">
        <v>515.6</v>
      </c>
      <c r="E364">
        <v>5</v>
      </c>
      <c r="F364" t="s">
        <v>23</v>
      </c>
      <c r="G364">
        <v>21</v>
      </c>
      <c r="H364">
        <v>114.5</v>
      </c>
      <c r="J364">
        <v>0.61</v>
      </c>
      <c r="K364" t="s">
        <v>24</v>
      </c>
      <c r="L364" t="s">
        <v>1420</v>
      </c>
      <c r="M364" t="s">
        <v>1421</v>
      </c>
      <c r="N364" t="s">
        <v>1422</v>
      </c>
      <c r="O364" t="s">
        <v>28</v>
      </c>
      <c r="Q364">
        <v>14.9</v>
      </c>
      <c r="S364">
        <v>4</v>
      </c>
      <c r="T364" t="s">
        <v>29</v>
      </c>
      <c r="U364" t="s">
        <v>24</v>
      </c>
      <c r="V364" t="s">
        <v>24</v>
      </c>
    </row>
    <row r="365" spans="1:22" x14ac:dyDescent="0.25">
      <c r="A365" t="s">
        <v>1423</v>
      </c>
      <c r="B365">
        <v>-5.9210000000000003</v>
      </c>
      <c r="C365">
        <v>122.66200000000001</v>
      </c>
      <c r="D365">
        <v>10</v>
      </c>
      <c r="E365">
        <v>5.4</v>
      </c>
      <c r="F365" t="s">
        <v>863</v>
      </c>
      <c r="G365">
        <v>95</v>
      </c>
      <c r="H365">
        <v>40.700000000000003</v>
      </c>
      <c r="J365">
        <v>0.84</v>
      </c>
      <c r="K365" t="s">
        <v>24</v>
      </c>
      <c r="L365" t="s">
        <v>1424</v>
      </c>
      <c r="M365" t="s">
        <v>1425</v>
      </c>
      <c r="N365" t="s">
        <v>1426</v>
      </c>
      <c r="O365" t="s">
        <v>28</v>
      </c>
      <c r="T365" t="s">
        <v>29</v>
      </c>
      <c r="U365" t="s">
        <v>24</v>
      </c>
      <c r="V365" t="s">
        <v>1427</v>
      </c>
    </row>
    <row r="366" spans="1:22" x14ac:dyDescent="0.25">
      <c r="A366" t="s">
        <v>1428</v>
      </c>
      <c r="B366">
        <v>-7.08</v>
      </c>
      <c r="C366">
        <v>125.27800000000001</v>
      </c>
      <c r="D366">
        <v>523.1</v>
      </c>
      <c r="E366">
        <v>4.5</v>
      </c>
      <c r="F366" t="s">
        <v>23</v>
      </c>
      <c r="G366">
        <v>22</v>
      </c>
      <c r="H366">
        <v>80.599999999999994</v>
      </c>
      <c r="J366">
        <v>0.71</v>
      </c>
      <c r="K366" t="s">
        <v>24</v>
      </c>
      <c r="L366" t="s">
        <v>1429</v>
      </c>
      <c r="M366" t="s">
        <v>1430</v>
      </c>
      <c r="N366" t="s">
        <v>1431</v>
      </c>
      <c r="O366" t="s">
        <v>28</v>
      </c>
      <c r="Q366">
        <v>9.1</v>
      </c>
      <c r="S366">
        <v>4</v>
      </c>
      <c r="T366" t="s">
        <v>29</v>
      </c>
      <c r="U366" t="s">
        <v>24</v>
      </c>
      <c r="V366" t="s">
        <v>24</v>
      </c>
    </row>
    <row r="367" spans="1:22" x14ac:dyDescent="0.25">
      <c r="A367" t="s">
        <v>1432</v>
      </c>
      <c r="B367">
        <v>-7.431</v>
      </c>
      <c r="C367">
        <v>119.58499999999999</v>
      </c>
      <c r="D367">
        <v>285</v>
      </c>
      <c r="E367">
        <v>4.5</v>
      </c>
      <c r="F367" t="s">
        <v>23</v>
      </c>
      <c r="G367">
        <v>13</v>
      </c>
      <c r="H367">
        <v>129.4</v>
      </c>
      <c r="J367">
        <v>0.83</v>
      </c>
      <c r="K367" t="s">
        <v>24</v>
      </c>
      <c r="L367" t="s">
        <v>1433</v>
      </c>
      <c r="M367" t="s">
        <v>1434</v>
      </c>
      <c r="N367" t="s">
        <v>1435</v>
      </c>
      <c r="O367" t="s">
        <v>28</v>
      </c>
      <c r="Q367">
        <v>11.4</v>
      </c>
      <c r="S367">
        <v>2</v>
      </c>
      <c r="T367" t="s">
        <v>29</v>
      </c>
      <c r="U367" t="s">
        <v>24</v>
      </c>
      <c r="V367" t="s">
        <v>24</v>
      </c>
    </row>
    <row r="368" spans="1:22" x14ac:dyDescent="0.25">
      <c r="A368" t="s">
        <v>1436</v>
      </c>
      <c r="B368">
        <v>-7.258</v>
      </c>
      <c r="C368">
        <v>120.301</v>
      </c>
      <c r="D368">
        <v>561</v>
      </c>
      <c r="E368">
        <v>4.7</v>
      </c>
      <c r="F368" t="s">
        <v>23</v>
      </c>
      <c r="G368">
        <v>99</v>
      </c>
      <c r="H368">
        <v>41.2</v>
      </c>
      <c r="J368">
        <v>0.81</v>
      </c>
      <c r="K368" t="s">
        <v>24</v>
      </c>
      <c r="L368" t="s">
        <v>1437</v>
      </c>
      <c r="M368" t="s">
        <v>1438</v>
      </c>
      <c r="N368" t="s">
        <v>27</v>
      </c>
      <c r="O368" t="s">
        <v>28</v>
      </c>
      <c r="Q368">
        <v>4.7</v>
      </c>
      <c r="S368">
        <v>33</v>
      </c>
      <c r="T368" t="s">
        <v>29</v>
      </c>
      <c r="U368" t="s">
        <v>24</v>
      </c>
      <c r="V368" t="s">
        <v>24</v>
      </c>
    </row>
    <row r="369" spans="1:22" x14ac:dyDescent="0.25">
      <c r="A369" t="s">
        <v>1439</v>
      </c>
      <c r="B369">
        <v>-7.306</v>
      </c>
      <c r="C369">
        <v>121.94799999999999</v>
      </c>
      <c r="D369">
        <v>533.4</v>
      </c>
      <c r="E369">
        <v>4.5999999999999996</v>
      </c>
      <c r="F369" t="s">
        <v>23</v>
      </c>
      <c r="G369">
        <v>52</v>
      </c>
      <c r="H369">
        <v>92.3</v>
      </c>
      <c r="J369">
        <v>0.73</v>
      </c>
      <c r="K369" t="s">
        <v>24</v>
      </c>
      <c r="L369" t="s">
        <v>1440</v>
      </c>
      <c r="M369" t="s">
        <v>1441</v>
      </c>
      <c r="N369" t="s">
        <v>1056</v>
      </c>
      <c r="O369" t="s">
        <v>28</v>
      </c>
      <c r="Q369">
        <v>7.5</v>
      </c>
      <c r="S369">
        <v>21</v>
      </c>
      <c r="T369" t="s">
        <v>29</v>
      </c>
      <c r="U369" t="s">
        <v>24</v>
      </c>
      <c r="V369" t="s">
        <v>24</v>
      </c>
    </row>
    <row r="370" spans="1:22" x14ac:dyDescent="0.25">
      <c r="A370" t="s">
        <v>1442</v>
      </c>
      <c r="B370">
        <v>-7.37</v>
      </c>
      <c r="C370">
        <v>121.28400000000001</v>
      </c>
      <c r="D370">
        <v>552.6</v>
      </c>
      <c r="E370">
        <v>4.5999999999999996</v>
      </c>
      <c r="F370" t="s">
        <v>23</v>
      </c>
      <c r="G370">
        <v>25</v>
      </c>
      <c r="H370">
        <v>81.099999999999994</v>
      </c>
      <c r="J370">
        <v>0.57999999999999996</v>
      </c>
      <c r="K370" t="s">
        <v>24</v>
      </c>
      <c r="L370" t="s">
        <v>1443</v>
      </c>
      <c r="M370" t="s">
        <v>1444</v>
      </c>
      <c r="N370" t="s">
        <v>1445</v>
      </c>
      <c r="O370" t="s">
        <v>28</v>
      </c>
      <c r="Q370">
        <v>5.9</v>
      </c>
      <c r="S370">
        <v>7</v>
      </c>
      <c r="T370" t="s">
        <v>29</v>
      </c>
      <c r="U370" t="s">
        <v>24</v>
      </c>
      <c r="V370" t="s">
        <v>24</v>
      </c>
    </row>
    <row r="371" spans="1:22" x14ac:dyDescent="0.25">
      <c r="A371" t="s">
        <v>1446</v>
      </c>
      <c r="B371">
        <v>-7.2210000000000001</v>
      </c>
      <c r="C371">
        <v>124.813</v>
      </c>
      <c r="D371">
        <v>508.6</v>
      </c>
      <c r="E371">
        <v>4.9000000000000004</v>
      </c>
      <c r="F371" t="s">
        <v>23</v>
      </c>
      <c r="G371">
        <v>15</v>
      </c>
      <c r="H371">
        <v>90.9</v>
      </c>
      <c r="J371">
        <v>0.82</v>
      </c>
      <c r="K371" t="s">
        <v>24</v>
      </c>
      <c r="L371" t="s">
        <v>1447</v>
      </c>
      <c r="M371" t="s">
        <v>1448</v>
      </c>
      <c r="N371" t="s">
        <v>1449</v>
      </c>
      <c r="O371" t="s">
        <v>28</v>
      </c>
      <c r="Q371">
        <v>11.4</v>
      </c>
      <c r="S371">
        <v>3</v>
      </c>
      <c r="T371" t="s">
        <v>29</v>
      </c>
      <c r="U371" t="s">
        <v>24</v>
      </c>
      <c r="V371" t="s">
        <v>24</v>
      </c>
    </row>
    <row r="372" spans="1:22" x14ac:dyDescent="0.25">
      <c r="A372" t="s">
        <v>1450</v>
      </c>
      <c r="B372">
        <v>-7.3929999999999998</v>
      </c>
      <c r="C372">
        <v>124.745</v>
      </c>
      <c r="D372">
        <v>398</v>
      </c>
      <c r="E372">
        <v>6.4</v>
      </c>
      <c r="F372" t="s">
        <v>863</v>
      </c>
      <c r="G372">
        <v>416</v>
      </c>
      <c r="H372">
        <v>35.200000000000003</v>
      </c>
      <c r="J372">
        <v>0.81</v>
      </c>
      <c r="K372" t="s">
        <v>24</v>
      </c>
      <c r="L372" t="s">
        <v>1451</v>
      </c>
      <c r="M372" t="s">
        <v>1452</v>
      </c>
      <c r="N372" t="s">
        <v>1453</v>
      </c>
      <c r="O372" t="s">
        <v>28</v>
      </c>
      <c r="T372" t="s">
        <v>29</v>
      </c>
      <c r="U372" t="s">
        <v>24</v>
      </c>
      <c r="V372" t="s">
        <v>24</v>
      </c>
    </row>
    <row r="373" spans="1:22" x14ac:dyDescent="0.25">
      <c r="A373" t="s">
        <v>1454</v>
      </c>
      <c r="B373">
        <v>-7.2759999999999998</v>
      </c>
      <c r="C373">
        <v>120.08499999999999</v>
      </c>
      <c r="D373">
        <v>575.9</v>
      </c>
      <c r="E373">
        <v>4.5999999999999996</v>
      </c>
      <c r="F373" t="s">
        <v>23</v>
      </c>
      <c r="G373">
        <v>51</v>
      </c>
      <c r="H373">
        <v>55.6</v>
      </c>
      <c r="J373">
        <v>0.6</v>
      </c>
      <c r="K373" t="s">
        <v>24</v>
      </c>
      <c r="L373" t="s">
        <v>1455</v>
      </c>
      <c r="M373" t="s">
        <v>1456</v>
      </c>
      <c r="N373" t="s">
        <v>1457</v>
      </c>
      <c r="O373" t="s">
        <v>28</v>
      </c>
      <c r="Q373">
        <v>5.3</v>
      </c>
      <c r="S373">
        <v>18</v>
      </c>
      <c r="T373" t="s">
        <v>29</v>
      </c>
      <c r="U373" t="s">
        <v>24</v>
      </c>
      <c r="V373" t="s">
        <v>24</v>
      </c>
    </row>
    <row r="374" spans="1:22" x14ac:dyDescent="0.25">
      <c r="A374" t="s">
        <v>1458</v>
      </c>
      <c r="B374">
        <v>-7.2</v>
      </c>
      <c r="C374">
        <v>120.816</v>
      </c>
      <c r="D374">
        <v>552</v>
      </c>
      <c r="E374">
        <v>4.5</v>
      </c>
      <c r="F374" t="s">
        <v>23</v>
      </c>
      <c r="G374">
        <v>27</v>
      </c>
      <c r="H374">
        <v>146.9</v>
      </c>
      <c r="J374">
        <v>0.69</v>
      </c>
      <c r="K374" t="s">
        <v>24</v>
      </c>
      <c r="L374" t="s">
        <v>1459</v>
      </c>
      <c r="M374" t="s">
        <v>1460</v>
      </c>
      <c r="N374" t="s">
        <v>1461</v>
      </c>
      <c r="O374" t="s">
        <v>28</v>
      </c>
      <c r="Q374">
        <v>7.2</v>
      </c>
      <c r="S374">
        <v>9</v>
      </c>
      <c r="T374" t="s">
        <v>29</v>
      </c>
      <c r="U374" t="s">
        <v>24</v>
      </c>
      <c r="V374" t="s">
        <v>24</v>
      </c>
    </row>
    <row r="375" spans="1:22" x14ac:dyDescent="0.25">
      <c r="A375" t="s">
        <v>1462</v>
      </c>
      <c r="B375">
        <v>-6.9409999999999998</v>
      </c>
      <c r="C375">
        <v>123.241</v>
      </c>
      <c r="D375">
        <v>658.8</v>
      </c>
      <c r="E375">
        <v>5</v>
      </c>
      <c r="F375" t="s">
        <v>23</v>
      </c>
      <c r="G375">
        <v>145</v>
      </c>
      <c r="H375">
        <v>39.700000000000003</v>
      </c>
      <c r="J375">
        <v>0.81</v>
      </c>
      <c r="K375" t="s">
        <v>24</v>
      </c>
      <c r="L375" t="s">
        <v>1463</v>
      </c>
      <c r="M375" t="s">
        <v>1464</v>
      </c>
      <c r="N375" t="s">
        <v>1465</v>
      </c>
      <c r="O375" t="s">
        <v>28</v>
      </c>
      <c r="Q375">
        <v>4.9000000000000004</v>
      </c>
      <c r="S375">
        <v>42</v>
      </c>
      <c r="T375" t="s">
        <v>29</v>
      </c>
      <c r="U375" t="s">
        <v>24</v>
      </c>
      <c r="V375" t="s">
        <v>24</v>
      </c>
    </row>
    <row r="376" spans="1:22" x14ac:dyDescent="0.25">
      <c r="A376" t="s">
        <v>1466</v>
      </c>
      <c r="B376">
        <v>-7.3890000000000002</v>
      </c>
      <c r="C376">
        <v>120.642</v>
      </c>
      <c r="D376">
        <v>586.4</v>
      </c>
      <c r="E376">
        <v>5.2</v>
      </c>
      <c r="F376" t="s">
        <v>863</v>
      </c>
      <c r="G376">
        <v>216</v>
      </c>
      <c r="H376">
        <v>35</v>
      </c>
      <c r="J376">
        <v>0.77</v>
      </c>
      <c r="K376" t="s">
        <v>24</v>
      </c>
      <c r="L376" t="s">
        <v>1467</v>
      </c>
      <c r="M376" t="s">
        <v>1468</v>
      </c>
      <c r="N376" t="s">
        <v>1469</v>
      </c>
      <c r="O376" t="s">
        <v>28</v>
      </c>
      <c r="Q376">
        <v>3.7</v>
      </c>
      <c r="T376" t="s">
        <v>29</v>
      </c>
      <c r="U376" t="s">
        <v>24</v>
      </c>
      <c r="V376" t="s">
        <v>1427</v>
      </c>
    </row>
    <row r="377" spans="1:22" x14ac:dyDescent="0.25">
      <c r="A377" t="s">
        <v>1470</v>
      </c>
      <c r="B377">
        <v>-7.077</v>
      </c>
      <c r="C377">
        <v>125.07</v>
      </c>
      <c r="D377">
        <v>534.4</v>
      </c>
      <c r="E377">
        <v>4.5</v>
      </c>
      <c r="F377" t="s">
        <v>23</v>
      </c>
      <c r="G377">
        <v>26</v>
      </c>
      <c r="H377">
        <v>136.5</v>
      </c>
      <c r="J377">
        <v>0.6</v>
      </c>
      <c r="K377" t="s">
        <v>24</v>
      </c>
      <c r="L377" t="s">
        <v>1471</v>
      </c>
      <c r="M377" t="s">
        <v>1472</v>
      </c>
      <c r="N377" t="s">
        <v>1473</v>
      </c>
      <c r="O377" t="s">
        <v>28</v>
      </c>
      <c r="Q377">
        <v>9.6999999999999993</v>
      </c>
      <c r="S377">
        <v>21</v>
      </c>
      <c r="T377" t="s">
        <v>29</v>
      </c>
      <c r="U377" t="s">
        <v>24</v>
      </c>
      <c r="V377" t="s">
        <v>24</v>
      </c>
    </row>
    <row r="378" spans="1:22" x14ac:dyDescent="0.25">
      <c r="A378" t="s">
        <v>1474</v>
      </c>
      <c r="B378">
        <v>-5.7229999999999999</v>
      </c>
      <c r="C378">
        <v>122.73699999999999</v>
      </c>
      <c r="D378">
        <v>10</v>
      </c>
      <c r="E378">
        <v>4.8</v>
      </c>
      <c r="F378" t="s">
        <v>23</v>
      </c>
      <c r="G378">
        <v>26</v>
      </c>
      <c r="H378">
        <v>110</v>
      </c>
      <c r="J378">
        <v>0.96</v>
      </c>
      <c r="K378" t="s">
        <v>24</v>
      </c>
      <c r="L378" t="s">
        <v>1475</v>
      </c>
      <c r="M378" t="s">
        <v>1476</v>
      </c>
      <c r="N378" t="s">
        <v>1477</v>
      </c>
      <c r="O378" t="s">
        <v>28</v>
      </c>
      <c r="S378">
        <v>8</v>
      </c>
      <c r="T378" t="s">
        <v>29</v>
      </c>
      <c r="U378" t="s">
        <v>24</v>
      </c>
      <c r="V378" t="s">
        <v>24</v>
      </c>
    </row>
    <row r="379" spans="1:22" x14ac:dyDescent="0.25">
      <c r="A379" t="s">
        <v>1478</v>
      </c>
      <c r="B379">
        <v>-6.0540000000000003</v>
      </c>
      <c r="C379">
        <v>122.554</v>
      </c>
      <c r="D379">
        <v>35</v>
      </c>
      <c r="E379">
        <v>4.5</v>
      </c>
      <c r="F379" t="s">
        <v>23</v>
      </c>
      <c r="G379">
        <v>29</v>
      </c>
      <c r="H379">
        <v>96.1</v>
      </c>
      <c r="J379">
        <v>1.1599999999999999</v>
      </c>
      <c r="K379" t="s">
        <v>24</v>
      </c>
      <c r="L379" t="s">
        <v>1479</v>
      </c>
      <c r="M379" t="s">
        <v>1480</v>
      </c>
      <c r="N379" t="s">
        <v>1481</v>
      </c>
      <c r="O379" t="s">
        <v>28</v>
      </c>
      <c r="S379">
        <v>14</v>
      </c>
      <c r="T379" t="s">
        <v>29</v>
      </c>
      <c r="U379" t="s">
        <v>24</v>
      </c>
      <c r="V379" t="s">
        <v>24</v>
      </c>
    </row>
    <row r="380" spans="1:22" x14ac:dyDescent="0.25">
      <c r="A380" t="s">
        <v>1482</v>
      </c>
      <c r="B380">
        <v>-6.8220000000000001</v>
      </c>
      <c r="C380">
        <v>125.093</v>
      </c>
      <c r="D380">
        <v>554.20000000000005</v>
      </c>
      <c r="E380">
        <v>5.6</v>
      </c>
      <c r="F380" t="s">
        <v>863</v>
      </c>
      <c r="G380">
        <v>174</v>
      </c>
      <c r="H380">
        <v>37.4</v>
      </c>
      <c r="J380">
        <v>0.82</v>
      </c>
      <c r="K380" t="s">
        <v>24</v>
      </c>
      <c r="L380" t="s">
        <v>1483</v>
      </c>
      <c r="M380" t="s">
        <v>1484</v>
      </c>
      <c r="N380" t="s">
        <v>1485</v>
      </c>
      <c r="O380" t="s">
        <v>28</v>
      </c>
      <c r="Q380">
        <v>4.5999999999999996</v>
      </c>
      <c r="T380" t="s">
        <v>29</v>
      </c>
      <c r="U380" t="s">
        <v>24</v>
      </c>
      <c r="V380" t="s">
        <v>1427</v>
      </c>
    </row>
    <row r="381" spans="1:22" x14ac:dyDescent="0.25">
      <c r="A381" t="s">
        <v>1486</v>
      </c>
      <c r="B381">
        <v>-7.2830000000000004</v>
      </c>
      <c r="C381">
        <v>120.187</v>
      </c>
      <c r="D381">
        <v>538</v>
      </c>
      <c r="E381">
        <v>4.8</v>
      </c>
      <c r="F381" t="s">
        <v>23</v>
      </c>
      <c r="G381">
        <v>74</v>
      </c>
      <c r="H381">
        <v>45.1</v>
      </c>
      <c r="J381">
        <v>0.91</v>
      </c>
      <c r="K381" t="s">
        <v>24</v>
      </c>
      <c r="L381" t="s">
        <v>1487</v>
      </c>
      <c r="M381" t="s">
        <v>1488</v>
      </c>
      <c r="N381" t="s">
        <v>1489</v>
      </c>
      <c r="O381" t="s">
        <v>28</v>
      </c>
      <c r="S381">
        <v>22</v>
      </c>
      <c r="T381" t="s">
        <v>29</v>
      </c>
      <c r="U381" t="s">
        <v>24</v>
      </c>
      <c r="V381" t="s">
        <v>24</v>
      </c>
    </row>
    <row r="382" spans="1:22" x14ac:dyDescent="0.25">
      <c r="A382" t="s">
        <v>1490</v>
      </c>
      <c r="B382">
        <v>-7.4649999999999999</v>
      </c>
      <c r="C382">
        <v>119.996</v>
      </c>
      <c r="D382">
        <v>607</v>
      </c>
      <c r="E382">
        <v>4.5</v>
      </c>
      <c r="F382" t="s">
        <v>23</v>
      </c>
      <c r="G382">
        <v>32</v>
      </c>
      <c r="H382">
        <v>45.7</v>
      </c>
      <c r="J382">
        <v>0.56000000000000005</v>
      </c>
      <c r="K382" t="s">
        <v>24</v>
      </c>
      <c r="L382" t="s">
        <v>1491</v>
      </c>
      <c r="M382" t="s">
        <v>1492</v>
      </c>
      <c r="N382" t="s">
        <v>1493</v>
      </c>
      <c r="O382" t="s">
        <v>28</v>
      </c>
      <c r="Q382">
        <v>5</v>
      </c>
      <c r="S382">
        <v>7</v>
      </c>
      <c r="T382" t="s">
        <v>29</v>
      </c>
      <c r="U382" t="s">
        <v>24</v>
      </c>
      <c r="V382" t="s">
        <v>24</v>
      </c>
    </row>
    <row r="383" spans="1:22" x14ac:dyDescent="0.25">
      <c r="A383" t="s">
        <v>1494</v>
      </c>
      <c r="B383">
        <v>-7.35</v>
      </c>
      <c r="C383">
        <v>123.952</v>
      </c>
      <c r="D383">
        <v>565</v>
      </c>
      <c r="E383">
        <v>4.5</v>
      </c>
      <c r="F383" t="s">
        <v>23</v>
      </c>
      <c r="G383">
        <v>54</v>
      </c>
      <c r="H383">
        <v>52.2</v>
      </c>
      <c r="J383">
        <v>0.71</v>
      </c>
      <c r="K383" t="s">
        <v>24</v>
      </c>
      <c r="L383" t="s">
        <v>1495</v>
      </c>
      <c r="M383" t="s">
        <v>1496</v>
      </c>
      <c r="N383" t="s">
        <v>1497</v>
      </c>
      <c r="O383" t="s">
        <v>28</v>
      </c>
      <c r="Q383">
        <v>6.3</v>
      </c>
      <c r="S383">
        <v>12</v>
      </c>
      <c r="T383" t="s">
        <v>29</v>
      </c>
      <c r="U383" t="s">
        <v>24</v>
      </c>
      <c r="V383" t="s">
        <v>24</v>
      </c>
    </row>
    <row r="384" spans="1:22" x14ac:dyDescent="0.25">
      <c r="A384" t="s">
        <v>1498</v>
      </c>
      <c r="B384">
        <v>-7.1459999999999999</v>
      </c>
      <c r="C384">
        <v>123.42700000000001</v>
      </c>
      <c r="D384">
        <v>642.4</v>
      </c>
      <c r="E384">
        <v>6.9</v>
      </c>
      <c r="F384" t="s">
        <v>863</v>
      </c>
      <c r="G384">
        <v>350</v>
      </c>
      <c r="H384">
        <v>19.5</v>
      </c>
      <c r="J384">
        <v>0.84</v>
      </c>
      <c r="K384" t="s">
        <v>24</v>
      </c>
      <c r="L384" t="s">
        <v>1499</v>
      </c>
      <c r="M384" t="s">
        <v>1500</v>
      </c>
      <c r="N384" t="s">
        <v>1501</v>
      </c>
      <c r="O384" t="s">
        <v>28</v>
      </c>
      <c r="T384" t="s">
        <v>29</v>
      </c>
      <c r="U384" t="s">
        <v>24</v>
      </c>
      <c r="V384" t="s">
        <v>24</v>
      </c>
    </row>
    <row r="385" spans="1:22" x14ac:dyDescent="0.25">
      <c r="A385" t="s">
        <v>1502</v>
      </c>
      <c r="B385">
        <v>-6.2009999999999996</v>
      </c>
      <c r="C385">
        <v>123.742</v>
      </c>
      <c r="D385">
        <v>35</v>
      </c>
      <c r="E385">
        <v>4.5999999999999996</v>
      </c>
      <c r="F385" t="s">
        <v>23</v>
      </c>
      <c r="G385">
        <v>18</v>
      </c>
      <c r="H385">
        <v>163.1</v>
      </c>
      <c r="J385">
        <v>1.02</v>
      </c>
      <c r="K385" t="s">
        <v>24</v>
      </c>
      <c r="L385" t="s">
        <v>1503</v>
      </c>
      <c r="M385" t="s">
        <v>1504</v>
      </c>
      <c r="N385" t="s">
        <v>1505</v>
      </c>
      <c r="O385" t="s">
        <v>28</v>
      </c>
      <c r="S385">
        <v>7</v>
      </c>
      <c r="T385" t="s">
        <v>29</v>
      </c>
      <c r="U385" t="s">
        <v>24</v>
      </c>
      <c r="V385" t="s">
        <v>24</v>
      </c>
    </row>
    <row r="386" spans="1:22" x14ac:dyDescent="0.25">
      <c r="A386" t="s">
        <v>1506</v>
      </c>
      <c r="B386">
        <v>-6.8639999999999999</v>
      </c>
      <c r="C386">
        <v>123.97799999999999</v>
      </c>
      <c r="D386">
        <v>605.20000000000005</v>
      </c>
      <c r="E386">
        <v>5.4</v>
      </c>
      <c r="F386" t="s">
        <v>863</v>
      </c>
      <c r="G386">
        <v>248</v>
      </c>
      <c r="H386">
        <v>23.8</v>
      </c>
      <c r="J386">
        <v>0.83</v>
      </c>
      <c r="K386" t="s">
        <v>24</v>
      </c>
      <c r="L386" t="s">
        <v>1507</v>
      </c>
      <c r="M386" t="s">
        <v>1508</v>
      </c>
      <c r="N386" t="s">
        <v>1509</v>
      </c>
      <c r="O386" t="s">
        <v>28</v>
      </c>
      <c r="T386" t="s">
        <v>29</v>
      </c>
      <c r="U386" t="s">
        <v>24</v>
      </c>
      <c r="V386" t="s">
        <v>1427</v>
      </c>
    </row>
    <row r="387" spans="1:22" x14ac:dyDescent="0.25">
      <c r="A387" t="s">
        <v>1510</v>
      </c>
      <c r="B387">
        <v>-7.5019999999999998</v>
      </c>
      <c r="C387">
        <v>124.255</v>
      </c>
      <c r="D387">
        <v>337.1</v>
      </c>
      <c r="E387">
        <v>4.5999999999999996</v>
      </c>
      <c r="F387" t="s">
        <v>23</v>
      </c>
      <c r="G387">
        <v>51</v>
      </c>
      <c r="H387">
        <v>80.099999999999994</v>
      </c>
      <c r="J387">
        <v>1.06</v>
      </c>
      <c r="K387" t="s">
        <v>24</v>
      </c>
      <c r="L387" t="s">
        <v>1511</v>
      </c>
      <c r="M387" t="s">
        <v>1512</v>
      </c>
      <c r="N387" t="s">
        <v>1513</v>
      </c>
      <c r="O387" t="s">
        <v>28</v>
      </c>
      <c r="Q387">
        <v>8.6999999999999993</v>
      </c>
      <c r="S387">
        <v>13</v>
      </c>
      <c r="T387" t="s">
        <v>29</v>
      </c>
      <c r="U387" t="s">
        <v>24</v>
      </c>
      <c r="V387" t="s">
        <v>24</v>
      </c>
    </row>
    <row r="388" spans="1:22" x14ac:dyDescent="0.25">
      <c r="A388" t="s">
        <v>1514</v>
      </c>
      <c r="B388">
        <v>-7.2290000000000001</v>
      </c>
      <c r="C388">
        <v>120.544</v>
      </c>
      <c r="D388">
        <v>524.29999999999995</v>
      </c>
      <c r="E388">
        <v>4.9000000000000004</v>
      </c>
      <c r="F388" t="s">
        <v>23</v>
      </c>
      <c r="G388">
        <v>82</v>
      </c>
      <c r="H388">
        <v>63.4</v>
      </c>
      <c r="J388">
        <v>0.87</v>
      </c>
      <c r="K388" t="s">
        <v>24</v>
      </c>
      <c r="L388" t="s">
        <v>1515</v>
      </c>
      <c r="M388" t="s">
        <v>1516</v>
      </c>
      <c r="N388" t="s">
        <v>638</v>
      </c>
      <c r="O388" t="s">
        <v>28</v>
      </c>
      <c r="Q388">
        <v>5</v>
      </c>
      <c r="S388">
        <v>24</v>
      </c>
      <c r="T388" t="s">
        <v>29</v>
      </c>
      <c r="U388" t="s">
        <v>24</v>
      </c>
      <c r="V388" t="s">
        <v>24</v>
      </c>
    </row>
    <row r="389" spans="1:22" x14ac:dyDescent="0.25">
      <c r="A389" t="s">
        <v>1517</v>
      </c>
      <c r="B389">
        <v>-7.1559999999999997</v>
      </c>
      <c r="C389">
        <v>125.03100000000001</v>
      </c>
      <c r="D389">
        <v>530.70000000000005</v>
      </c>
      <c r="E389">
        <v>5.0999999999999996</v>
      </c>
      <c r="F389" t="s">
        <v>23</v>
      </c>
      <c r="G389">
        <v>262</v>
      </c>
      <c r="H389">
        <v>36.5</v>
      </c>
      <c r="J389">
        <v>0.84</v>
      </c>
      <c r="K389" t="s">
        <v>24</v>
      </c>
      <c r="L389" t="s">
        <v>1518</v>
      </c>
      <c r="M389" t="s">
        <v>1519</v>
      </c>
      <c r="N389" t="s">
        <v>1520</v>
      </c>
      <c r="O389" t="s">
        <v>28</v>
      </c>
      <c r="Q389">
        <v>2.2999999999999998</v>
      </c>
      <c r="S389">
        <v>63</v>
      </c>
      <c r="T389" t="s">
        <v>29</v>
      </c>
      <c r="U389" t="s">
        <v>24</v>
      </c>
      <c r="V389" t="s">
        <v>24</v>
      </c>
    </row>
    <row r="390" spans="1:22" x14ac:dyDescent="0.25">
      <c r="A390" t="s">
        <v>1521</v>
      </c>
      <c r="B390">
        <v>-5.5419999999999998</v>
      </c>
      <c r="C390">
        <v>123.307</v>
      </c>
      <c r="D390">
        <v>34.5</v>
      </c>
      <c r="E390">
        <v>4.7</v>
      </c>
      <c r="F390" t="s">
        <v>23</v>
      </c>
      <c r="G390">
        <v>64</v>
      </c>
      <c r="H390">
        <v>41.8</v>
      </c>
      <c r="J390">
        <v>0.95</v>
      </c>
      <c r="K390" t="s">
        <v>24</v>
      </c>
      <c r="L390" t="s">
        <v>1522</v>
      </c>
      <c r="M390" t="s">
        <v>1523</v>
      </c>
      <c r="N390" t="s">
        <v>1524</v>
      </c>
      <c r="O390" t="s">
        <v>28</v>
      </c>
      <c r="Q390">
        <v>10</v>
      </c>
      <c r="S390">
        <v>17</v>
      </c>
      <c r="T390" t="s">
        <v>29</v>
      </c>
      <c r="U390" t="s">
        <v>24</v>
      </c>
      <c r="V390" t="s">
        <v>24</v>
      </c>
    </row>
    <row r="391" spans="1:22" x14ac:dyDescent="0.25">
      <c r="A391" t="s">
        <v>1525</v>
      </c>
      <c r="B391">
        <v>-5.609</v>
      </c>
      <c r="C391">
        <v>122.73099999999999</v>
      </c>
      <c r="D391">
        <v>36.9</v>
      </c>
      <c r="E391">
        <v>5.0999999999999996</v>
      </c>
      <c r="F391" t="s">
        <v>23</v>
      </c>
      <c r="G391">
        <v>70</v>
      </c>
      <c r="H391">
        <v>62</v>
      </c>
      <c r="J391">
        <v>0.88</v>
      </c>
      <c r="K391" t="s">
        <v>24</v>
      </c>
      <c r="L391" t="s">
        <v>1526</v>
      </c>
      <c r="M391" t="s">
        <v>1527</v>
      </c>
      <c r="N391" t="s">
        <v>1528</v>
      </c>
      <c r="O391" t="s">
        <v>28</v>
      </c>
      <c r="Q391">
        <v>6.5</v>
      </c>
      <c r="S391">
        <v>26</v>
      </c>
      <c r="T391" t="s">
        <v>29</v>
      </c>
      <c r="U391" t="s">
        <v>24</v>
      </c>
      <c r="V391" t="s">
        <v>24</v>
      </c>
    </row>
    <row r="392" spans="1:22" x14ac:dyDescent="0.25">
      <c r="A392" t="s">
        <v>1529</v>
      </c>
      <c r="B392">
        <v>-7.5279999999999996</v>
      </c>
      <c r="C392">
        <v>119.718</v>
      </c>
      <c r="D392">
        <v>49.2</v>
      </c>
      <c r="E392">
        <v>5</v>
      </c>
      <c r="F392" t="s">
        <v>23</v>
      </c>
      <c r="G392">
        <v>112</v>
      </c>
      <c r="H392">
        <v>33.4</v>
      </c>
      <c r="J392">
        <v>0.98</v>
      </c>
      <c r="K392" t="s">
        <v>24</v>
      </c>
      <c r="L392" t="s">
        <v>1530</v>
      </c>
      <c r="M392" t="s">
        <v>1531</v>
      </c>
      <c r="N392" t="s">
        <v>800</v>
      </c>
      <c r="O392" t="s">
        <v>28</v>
      </c>
      <c r="Q392">
        <v>5</v>
      </c>
      <c r="S392">
        <v>34</v>
      </c>
      <c r="T392" t="s">
        <v>29</v>
      </c>
      <c r="U392" t="s">
        <v>24</v>
      </c>
      <c r="V392" t="s">
        <v>24</v>
      </c>
    </row>
    <row r="393" spans="1:22" x14ac:dyDescent="0.25">
      <c r="A393" t="s">
        <v>1532</v>
      </c>
      <c r="B393">
        <v>-7.1239999999999997</v>
      </c>
      <c r="C393">
        <v>119.057</v>
      </c>
      <c r="D393">
        <v>568.9</v>
      </c>
      <c r="E393">
        <v>4.5</v>
      </c>
      <c r="F393" t="s">
        <v>23</v>
      </c>
      <c r="G393">
        <v>106</v>
      </c>
      <c r="H393">
        <v>54.2</v>
      </c>
      <c r="J393">
        <v>0.91</v>
      </c>
      <c r="K393" t="s">
        <v>24</v>
      </c>
      <c r="L393" t="s">
        <v>1533</v>
      </c>
      <c r="M393" t="s">
        <v>1534</v>
      </c>
      <c r="N393" t="s">
        <v>1535</v>
      </c>
      <c r="O393" t="s">
        <v>28</v>
      </c>
      <c r="Q393">
        <v>3.5</v>
      </c>
      <c r="S393">
        <v>19</v>
      </c>
      <c r="T393" t="s">
        <v>29</v>
      </c>
      <c r="U393" t="s">
        <v>24</v>
      </c>
      <c r="V393" t="s">
        <v>24</v>
      </c>
    </row>
    <row r="394" spans="1:22" x14ac:dyDescent="0.25">
      <c r="A394" t="s">
        <v>1536</v>
      </c>
      <c r="B394">
        <v>-5.351</v>
      </c>
      <c r="C394">
        <v>123.401</v>
      </c>
      <c r="D394">
        <v>42.7</v>
      </c>
      <c r="E394">
        <v>4.7</v>
      </c>
      <c r="F394" t="s">
        <v>23</v>
      </c>
      <c r="G394">
        <v>65</v>
      </c>
      <c r="H394">
        <v>51.4</v>
      </c>
      <c r="J394">
        <v>0.97</v>
      </c>
      <c r="K394" t="s">
        <v>24</v>
      </c>
      <c r="L394" t="s">
        <v>1537</v>
      </c>
      <c r="M394" t="s">
        <v>1538</v>
      </c>
      <c r="N394" t="s">
        <v>1539</v>
      </c>
      <c r="O394" t="s">
        <v>28</v>
      </c>
      <c r="Q394">
        <v>5.5</v>
      </c>
      <c r="S394">
        <v>24</v>
      </c>
      <c r="T394" t="s">
        <v>29</v>
      </c>
      <c r="U394" t="s">
        <v>24</v>
      </c>
      <c r="V394" t="s">
        <v>24</v>
      </c>
    </row>
    <row r="395" spans="1:22" x14ac:dyDescent="0.25">
      <c r="A395" t="s">
        <v>1540</v>
      </c>
      <c r="B395">
        <v>-7.19</v>
      </c>
      <c r="C395">
        <v>125.059</v>
      </c>
      <c r="D395">
        <v>520.20000000000005</v>
      </c>
      <c r="E395">
        <v>4.8</v>
      </c>
      <c r="F395" t="s">
        <v>23</v>
      </c>
      <c r="G395">
        <v>37</v>
      </c>
      <c r="H395">
        <v>49.4</v>
      </c>
      <c r="J395">
        <v>0.69</v>
      </c>
      <c r="K395" t="s">
        <v>24</v>
      </c>
      <c r="L395" t="s">
        <v>1541</v>
      </c>
      <c r="M395" t="s">
        <v>1542</v>
      </c>
      <c r="N395" t="s">
        <v>1543</v>
      </c>
      <c r="O395" t="s">
        <v>28</v>
      </c>
      <c r="Q395">
        <v>4.4000000000000004</v>
      </c>
      <c r="S395">
        <v>12</v>
      </c>
      <c r="T395" t="s">
        <v>29</v>
      </c>
      <c r="U395" t="s">
        <v>24</v>
      </c>
      <c r="V395" t="s">
        <v>24</v>
      </c>
    </row>
    <row r="396" spans="1:22" x14ac:dyDescent="0.25">
      <c r="A396" t="s">
        <v>1544</v>
      </c>
      <c r="B396">
        <v>-7.13</v>
      </c>
      <c r="C396">
        <v>123.09399999999999</v>
      </c>
      <c r="D396">
        <v>606</v>
      </c>
      <c r="E396">
        <v>4.9000000000000004</v>
      </c>
      <c r="F396" t="s">
        <v>23</v>
      </c>
      <c r="G396">
        <v>118</v>
      </c>
      <c r="H396">
        <v>31.3</v>
      </c>
      <c r="J396">
        <v>0.9</v>
      </c>
      <c r="K396" t="s">
        <v>24</v>
      </c>
      <c r="L396" t="s">
        <v>1545</v>
      </c>
      <c r="M396" t="s">
        <v>1546</v>
      </c>
      <c r="N396" t="s">
        <v>1547</v>
      </c>
      <c r="O396" t="s">
        <v>28</v>
      </c>
      <c r="Q396">
        <v>3.5</v>
      </c>
      <c r="S396">
        <v>38</v>
      </c>
      <c r="T396" t="s">
        <v>29</v>
      </c>
      <c r="U396" t="s">
        <v>24</v>
      </c>
      <c r="V396" t="s">
        <v>24</v>
      </c>
    </row>
    <row r="397" spans="1:22" x14ac:dyDescent="0.25">
      <c r="A397" t="s">
        <v>1548</v>
      </c>
      <c r="B397">
        <v>-6.0330000000000004</v>
      </c>
      <c r="C397">
        <v>122.03100000000001</v>
      </c>
      <c r="D397">
        <v>28.7</v>
      </c>
      <c r="E397">
        <v>4.9000000000000004</v>
      </c>
      <c r="F397" t="s">
        <v>863</v>
      </c>
      <c r="G397">
        <v>63</v>
      </c>
      <c r="H397">
        <v>54.4</v>
      </c>
      <c r="J397">
        <v>1.04</v>
      </c>
      <c r="K397" t="s">
        <v>24</v>
      </c>
      <c r="L397" t="s">
        <v>1549</v>
      </c>
      <c r="M397" t="s">
        <v>1550</v>
      </c>
      <c r="N397" t="s">
        <v>1551</v>
      </c>
      <c r="O397" t="s">
        <v>28</v>
      </c>
      <c r="Q397">
        <v>6.2</v>
      </c>
      <c r="T397" t="s">
        <v>29</v>
      </c>
      <c r="U397" t="s">
        <v>24</v>
      </c>
      <c r="V397" t="s">
        <v>1427</v>
      </c>
    </row>
    <row r="398" spans="1:22" x14ac:dyDescent="0.25">
      <c r="A398" t="s">
        <v>1552</v>
      </c>
      <c r="B398">
        <v>-5.18</v>
      </c>
      <c r="C398">
        <v>122.935</v>
      </c>
      <c r="D398">
        <v>27</v>
      </c>
      <c r="E398">
        <v>4.5</v>
      </c>
      <c r="F398" t="s">
        <v>23</v>
      </c>
      <c r="G398">
        <v>31</v>
      </c>
      <c r="H398">
        <v>69.099999999999994</v>
      </c>
      <c r="J398">
        <v>1.39</v>
      </c>
      <c r="K398" t="s">
        <v>24</v>
      </c>
      <c r="L398" t="s">
        <v>1553</v>
      </c>
      <c r="M398" t="s">
        <v>1554</v>
      </c>
      <c r="N398" t="s">
        <v>1555</v>
      </c>
      <c r="O398" t="s">
        <v>28</v>
      </c>
      <c r="Q398">
        <v>22.1</v>
      </c>
      <c r="S398">
        <v>9</v>
      </c>
      <c r="T398" t="s">
        <v>29</v>
      </c>
      <c r="U398" t="s">
        <v>24</v>
      </c>
      <c r="V398" t="s">
        <v>24</v>
      </c>
    </row>
    <row r="399" spans="1:22" x14ac:dyDescent="0.25">
      <c r="A399" t="s">
        <v>1556</v>
      </c>
      <c r="B399">
        <v>-7.1479999999999997</v>
      </c>
      <c r="C399">
        <v>125.124</v>
      </c>
      <c r="D399">
        <v>537.5</v>
      </c>
      <c r="E399">
        <v>5</v>
      </c>
      <c r="F399" t="s">
        <v>23</v>
      </c>
      <c r="G399">
        <v>149</v>
      </c>
      <c r="H399">
        <v>35.1</v>
      </c>
      <c r="J399">
        <v>1.01</v>
      </c>
      <c r="K399" t="s">
        <v>24</v>
      </c>
      <c r="L399" t="s">
        <v>1557</v>
      </c>
      <c r="M399" t="s">
        <v>1558</v>
      </c>
      <c r="N399" t="s">
        <v>1559</v>
      </c>
      <c r="O399" t="s">
        <v>28</v>
      </c>
      <c r="Q399">
        <v>3.5</v>
      </c>
      <c r="S399">
        <v>64</v>
      </c>
      <c r="T399" t="s">
        <v>29</v>
      </c>
      <c r="U399" t="s">
        <v>24</v>
      </c>
      <c r="V399" t="s">
        <v>24</v>
      </c>
    </row>
    <row r="400" spans="1:22" x14ac:dyDescent="0.25">
      <c r="A400" t="s">
        <v>1560</v>
      </c>
      <c r="B400">
        <v>-7.327</v>
      </c>
      <c r="C400">
        <v>120.199</v>
      </c>
      <c r="D400">
        <v>564.29999999999995</v>
      </c>
      <c r="E400">
        <v>4.7</v>
      </c>
      <c r="F400" t="s">
        <v>23</v>
      </c>
      <c r="G400">
        <v>96</v>
      </c>
      <c r="H400">
        <v>55.4</v>
      </c>
      <c r="J400">
        <v>0.82</v>
      </c>
      <c r="K400" t="s">
        <v>24</v>
      </c>
      <c r="L400" t="s">
        <v>1561</v>
      </c>
      <c r="M400" t="s">
        <v>1562</v>
      </c>
      <c r="N400" t="s">
        <v>45</v>
      </c>
      <c r="O400" t="s">
        <v>28</v>
      </c>
      <c r="Q400">
        <v>3.2</v>
      </c>
      <c r="S400">
        <v>18</v>
      </c>
      <c r="T400" t="s">
        <v>29</v>
      </c>
      <c r="U400" t="s">
        <v>24</v>
      </c>
      <c r="V400" t="s">
        <v>24</v>
      </c>
    </row>
    <row r="401" spans="1:22" x14ac:dyDescent="0.25">
      <c r="A401" t="s">
        <v>1563</v>
      </c>
      <c r="B401">
        <v>-4.5860000000000003</v>
      </c>
      <c r="C401">
        <v>122.771</v>
      </c>
      <c r="D401">
        <v>8</v>
      </c>
      <c r="E401">
        <v>6.1</v>
      </c>
      <c r="F401" t="s">
        <v>1564</v>
      </c>
      <c r="G401">
        <v>204</v>
      </c>
      <c r="H401">
        <v>40.799999999999997</v>
      </c>
      <c r="J401">
        <v>1.48</v>
      </c>
      <c r="K401" t="s">
        <v>24</v>
      </c>
      <c r="L401" t="s">
        <v>1565</v>
      </c>
      <c r="M401" t="s">
        <v>1566</v>
      </c>
      <c r="N401" t="s">
        <v>1567</v>
      </c>
      <c r="O401" t="s">
        <v>28</v>
      </c>
      <c r="T401" t="s">
        <v>29</v>
      </c>
      <c r="U401" t="s">
        <v>24</v>
      </c>
      <c r="V401" t="s">
        <v>24</v>
      </c>
    </row>
    <row r="402" spans="1:22" x14ac:dyDescent="0.25">
      <c r="A402" t="s">
        <v>1568</v>
      </c>
      <c r="B402">
        <v>-6.9939999999999998</v>
      </c>
      <c r="C402">
        <v>123.398</v>
      </c>
      <c r="D402">
        <v>631.70000000000005</v>
      </c>
      <c r="E402">
        <v>5.3</v>
      </c>
      <c r="F402" t="s">
        <v>863</v>
      </c>
      <c r="G402">
        <v>109</v>
      </c>
      <c r="H402">
        <v>25.6</v>
      </c>
      <c r="J402">
        <v>0.79</v>
      </c>
      <c r="K402" t="s">
        <v>24</v>
      </c>
      <c r="L402" t="s">
        <v>1569</v>
      </c>
      <c r="M402" t="s">
        <v>1570</v>
      </c>
      <c r="N402" t="s">
        <v>583</v>
      </c>
      <c r="O402" t="s">
        <v>28</v>
      </c>
      <c r="Q402">
        <v>3.5</v>
      </c>
      <c r="T402" t="s">
        <v>29</v>
      </c>
      <c r="U402" t="s">
        <v>24</v>
      </c>
      <c r="V402" t="s">
        <v>1427</v>
      </c>
    </row>
    <row r="403" spans="1:22" x14ac:dyDescent="0.25">
      <c r="A403" t="s">
        <v>1571</v>
      </c>
      <c r="B403">
        <v>-6.9779999999999998</v>
      </c>
      <c r="C403">
        <v>125.104</v>
      </c>
      <c r="D403">
        <v>520.6</v>
      </c>
      <c r="E403">
        <v>4.9000000000000004</v>
      </c>
      <c r="F403" t="s">
        <v>23</v>
      </c>
      <c r="G403">
        <v>117</v>
      </c>
      <c r="H403">
        <v>40</v>
      </c>
      <c r="J403">
        <v>0.85</v>
      </c>
      <c r="K403" t="s">
        <v>24</v>
      </c>
      <c r="L403" t="s">
        <v>1572</v>
      </c>
      <c r="M403" t="s">
        <v>1573</v>
      </c>
      <c r="N403" t="s">
        <v>1574</v>
      </c>
      <c r="O403" t="s">
        <v>28</v>
      </c>
      <c r="Q403">
        <v>3.9</v>
      </c>
      <c r="S403">
        <v>76</v>
      </c>
      <c r="T403" t="s">
        <v>29</v>
      </c>
      <c r="U403" t="s">
        <v>24</v>
      </c>
      <c r="V403" t="s">
        <v>24</v>
      </c>
    </row>
    <row r="404" spans="1:22" x14ac:dyDescent="0.25">
      <c r="A404" t="s">
        <v>1575</v>
      </c>
      <c r="B404">
        <v>-7.3579999999999997</v>
      </c>
      <c r="C404">
        <v>123.095</v>
      </c>
      <c r="D404">
        <v>558</v>
      </c>
      <c r="E404">
        <v>5.2</v>
      </c>
      <c r="F404" t="s">
        <v>863</v>
      </c>
      <c r="G404">
        <v>186</v>
      </c>
      <c r="H404">
        <v>27</v>
      </c>
      <c r="J404">
        <v>0.73</v>
      </c>
      <c r="K404" t="s">
        <v>24</v>
      </c>
      <c r="L404" t="s">
        <v>1576</v>
      </c>
      <c r="M404" t="s">
        <v>1577</v>
      </c>
      <c r="N404" t="s">
        <v>1578</v>
      </c>
      <c r="O404" t="s">
        <v>28</v>
      </c>
      <c r="Q404">
        <v>2.9</v>
      </c>
      <c r="T404" t="s">
        <v>29</v>
      </c>
      <c r="U404" t="s">
        <v>24</v>
      </c>
      <c r="V404" t="s">
        <v>1427</v>
      </c>
    </row>
    <row r="405" spans="1:22" x14ac:dyDescent="0.25">
      <c r="A405" t="s">
        <v>1579</v>
      </c>
      <c r="B405">
        <v>-6.8849999999999998</v>
      </c>
      <c r="C405">
        <v>123.462</v>
      </c>
      <c r="D405">
        <v>645.29999999999995</v>
      </c>
      <c r="E405">
        <v>5.2</v>
      </c>
      <c r="F405" t="s">
        <v>23</v>
      </c>
      <c r="G405">
        <v>362</v>
      </c>
      <c r="H405">
        <v>25.9</v>
      </c>
      <c r="J405">
        <v>0.84</v>
      </c>
      <c r="K405" t="s">
        <v>24</v>
      </c>
      <c r="L405" t="s">
        <v>1580</v>
      </c>
      <c r="M405" t="s">
        <v>1581</v>
      </c>
      <c r="N405" t="s">
        <v>1582</v>
      </c>
      <c r="O405" t="s">
        <v>28</v>
      </c>
      <c r="Q405">
        <v>2.8</v>
      </c>
      <c r="S405">
        <v>129</v>
      </c>
      <c r="T405" t="s">
        <v>29</v>
      </c>
      <c r="U405" t="s">
        <v>24</v>
      </c>
      <c r="V405" t="s">
        <v>24</v>
      </c>
    </row>
    <row r="406" spans="1:22" x14ac:dyDescent="0.25">
      <c r="A406" t="s">
        <v>1583</v>
      </c>
      <c r="B406">
        <v>-6.4169999999999998</v>
      </c>
      <c r="C406">
        <v>124.30800000000001</v>
      </c>
      <c r="D406">
        <v>31.8</v>
      </c>
      <c r="E406">
        <v>4.8</v>
      </c>
      <c r="F406" t="s">
        <v>23</v>
      </c>
      <c r="G406">
        <v>62</v>
      </c>
      <c r="H406">
        <v>35.1</v>
      </c>
      <c r="J406">
        <v>0.82</v>
      </c>
      <c r="K406" t="s">
        <v>24</v>
      </c>
      <c r="L406" t="s">
        <v>1584</v>
      </c>
      <c r="M406" t="s">
        <v>1585</v>
      </c>
      <c r="N406" t="s">
        <v>1586</v>
      </c>
      <c r="O406" t="s">
        <v>28</v>
      </c>
      <c r="Q406">
        <v>8.8000000000000007</v>
      </c>
      <c r="S406">
        <v>25</v>
      </c>
      <c r="T406" t="s">
        <v>29</v>
      </c>
      <c r="U406" t="s">
        <v>24</v>
      </c>
      <c r="V406" t="s">
        <v>24</v>
      </c>
    </row>
    <row r="407" spans="1:22" x14ac:dyDescent="0.25">
      <c r="A407" t="s">
        <v>1587</v>
      </c>
      <c r="B407">
        <v>-7.0209999999999999</v>
      </c>
      <c r="C407">
        <v>123.422</v>
      </c>
      <c r="D407">
        <v>629.5</v>
      </c>
      <c r="E407">
        <v>4.9000000000000004</v>
      </c>
      <c r="F407" t="s">
        <v>23</v>
      </c>
      <c r="G407">
        <v>187</v>
      </c>
      <c r="H407">
        <v>40.200000000000003</v>
      </c>
      <c r="J407">
        <v>1</v>
      </c>
      <c r="K407" t="s">
        <v>24</v>
      </c>
      <c r="L407" t="s">
        <v>1588</v>
      </c>
      <c r="M407" t="s">
        <v>1589</v>
      </c>
      <c r="N407" t="s">
        <v>1590</v>
      </c>
      <c r="O407" t="s">
        <v>28</v>
      </c>
      <c r="Q407">
        <v>3.6</v>
      </c>
      <c r="S407">
        <v>49</v>
      </c>
      <c r="T407" t="s">
        <v>29</v>
      </c>
      <c r="U407" t="s">
        <v>24</v>
      </c>
      <c r="V407" t="s">
        <v>24</v>
      </c>
    </row>
    <row r="408" spans="1:22" x14ac:dyDescent="0.25">
      <c r="A408" t="s">
        <v>1591</v>
      </c>
      <c r="B408">
        <v>-7.077</v>
      </c>
      <c r="C408">
        <v>125.08499999999999</v>
      </c>
      <c r="D408">
        <v>518.6</v>
      </c>
      <c r="E408">
        <v>4.5999999999999996</v>
      </c>
      <c r="F408" t="s">
        <v>23</v>
      </c>
      <c r="G408">
        <v>81</v>
      </c>
      <c r="H408">
        <v>58.9</v>
      </c>
      <c r="J408">
        <v>0.91</v>
      </c>
      <c r="K408" t="s">
        <v>24</v>
      </c>
      <c r="L408" t="s">
        <v>1592</v>
      </c>
      <c r="M408" t="s">
        <v>1593</v>
      </c>
      <c r="N408" t="s">
        <v>1473</v>
      </c>
      <c r="O408" t="s">
        <v>28</v>
      </c>
      <c r="Q408">
        <v>4.5999999999999996</v>
      </c>
      <c r="S408">
        <v>50</v>
      </c>
      <c r="T408" t="s">
        <v>29</v>
      </c>
      <c r="U408" t="s">
        <v>24</v>
      </c>
      <c r="V408" t="s">
        <v>24</v>
      </c>
    </row>
    <row r="409" spans="1:22" x14ac:dyDescent="0.25">
      <c r="A409" t="s">
        <v>1594</v>
      </c>
      <c r="B409">
        <v>-7.2510000000000003</v>
      </c>
      <c r="C409">
        <v>119.462</v>
      </c>
      <c r="D409">
        <v>410.7</v>
      </c>
      <c r="E409">
        <v>4.9000000000000004</v>
      </c>
      <c r="F409" t="s">
        <v>23</v>
      </c>
      <c r="G409">
        <v>73</v>
      </c>
      <c r="H409">
        <v>71.599999999999994</v>
      </c>
      <c r="J409">
        <v>0.79</v>
      </c>
      <c r="K409" t="s">
        <v>24</v>
      </c>
      <c r="L409" t="s">
        <v>1595</v>
      </c>
      <c r="M409" t="s">
        <v>1596</v>
      </c>
      <c r="N409" t="s">
        <v>1056</v>
      </c>
      <c r="O409" t="s">
        <v>28</v>
      </c>
      <c r="S409">
        <v>17</v>
      </c>
      <c r="T409" t="s">
        <v>29</v>
      </c>
      <c r="U409" t="s">
        <v>24</v>
      </c>
      <c r="V409" t="s">
        <v>24</v>
      </c>
    </row>
    <row r="410" spans="1:22" x14ac:dyDescent="0.25">
      <c r="A410" t="s">
        <v>1597</v>
      </c>
      <c r="B410">
        <v>-6.2249999999999996</v>
      </c>
      <c r="C410">
        <v>123.383</v>
      </c>
      <c r="D410">
        <v>40.9</v>
      </c>
      <c r="E410">
        <v>4.5999999999999996</v>
      </c>
      <c r="F410" t="s">
        <v>23</v>
      </c>
      <c r="G410">
        <v>40</v>
      </c>
      <c r="H410">
        <v>76.3</v>
      </c>
      <c r="J410">
        <v>1.1399999999999999</v>
      </c>
      <c r="K410" t="s">
        <v>24</v>
      </c>
      <c r="L410" t="s">
        <v>1598</v>
      </c>
      <c r="M410" t="s">
        <v>1599</v>
      </c>
      <c r="N410" t="s">
        <v>1600</v>
      </c>
      <c r="O410" t="s">
        <v>28</v>
      </c>
      <c r="Q410">
        <v>9.6</v>
      </c>
      <c r="S410">
        <v>7</v>
      </c>
      <c r="T410" t="s">
        <v>29</v>
      </c>
      <c r="U410" t="s">
        <v>24</v>
      </c>
      <c r="V410" t="s">
        <v>24</v>
      </c>
    </row>
    <row r="411" spans="1:22" x14ac:dyDescent="0.25">
      <c r="A411" t="s">
        <v>1601</v>
      </c>
      <c r="B411">
        <v>-7.0570000000000004</v>
      </c>
      <c r="C411">
        <v>124.17</v>
      </c>
      <c r="D411">
        <v>592.79999999999995</v>
      </c>
      <c r="E411">
        <v>4.8</v>
      </c>
      <c r="F411" t="s">
        <v>23</v>
      </c>
      <c r="G411">
        <v>115</v>
      </c>
      <c r="H411">
        <v>29.9</v>
      </c>
      <c r="J411">
        <v>0.71</v>
      </c>
      <c r="K411" t="s">
        <v>24</v>
      </c>
      <c r="L411" t="s">
        <v>1602</v>
      </c>
      <c r="M411" t="s">
        <v>1603</v>
      </c>
      <c r="N411" t="s">
        <v>1604</v>
      </c>
      <c r="O411" t="s">
        <v>28</v>
      </c>
      <c r="Q411">
        <v>3</v>
      </c>
      <c r="S411">
        <v>36</v>
      </c>
      <c r="T411" t="s">
        <v>29</v>
      </c>
      <c r="U411" t="s">
        <v>24</v>
      </c>
      <c r="V411" t="s">
        <v>24</v>
      </c>
    </row>
    <row r="412" spans="1:22" x14ac:dyDescent="0.25">
      <c r="A412" t="s">
        <v>1605</v>
      </c>
      <c r="B412">
        <v>-7.4359999999999999</v>
      </c>
      <c r="C412">
        <v>124.931</v>
      </c>
      <c r="D412">
        <v>383.4</v>
      </c>
      <c r="E412">
        <v>4.5</v>
      </c>
      <c r="F412" t="s">
        <v>23</v>
      </c>
      <c r="G412">
        <v>125</v>
      </c>
      <c r="H412">
        <v>36.1</v>
      </c>
      <c r="J412">
        <v>0.84</v>
      </c>
      <c r="K412" t="s">
        <v>24</v>
      </c>
      <c r="L412" t="s">
        <v>1606</v>
      </c>
      <c r="M412" t="s">
        <v>1607</v>
      </c>
      <c r="N412" t="s">
        <v>1608</v>
      </c>
      <c r="O412" t="s">
        <v>28</v>
      </c>
      <c r="Q412">
        <v>3.3</v>
      </c>
      <c r="S412">
        <v>36</v>
      </c>
      <c r="T412" t="s">
        <v>29</v>
      </c>
      <c r="U412" t="s">
        <v>24</v>
      </c>
      <c r="V412" t="s">
        <v>24</v>
      </c>
    </row>
    <row r="413" spans="1:22" x14ac:dyDescent="0.25">
      <c r="A413" t="s">
        <v>1609</v>
      </c>
      <c r="B413">
        <v>-6.25</v>
      </c>
      <c r="C413">
        <v>120.705</v>
      </c>
      <c r="D413">
        <v>51.7</v>
      </c>
      <c r="E413">
        <v>4.8</v>
      </c>
      <c r="F413" t="s">
        <v>23</v>
      </c>
      <c r="G413">
        <v>80</v>
      </c>
      <c r="H413">
        <v>60.4</v>
      </c>
      <c r="J413">
        <v>0.91</v>
      </c>
      <c r="K413" t="s">
        <v>24</v>
      </c>
      <c r="L413" t="s">
        <v>1610</v>
      </c>
      <c r="M413" t="s">
        <v>1611</v>
      </c>
      <c r="N413" t="s">
        <v>1612</v>
      </c>
      <c r="O413" t="s">
        <v>28</v>
      </c>
      <c r="Q413">
        <v>5.3</v>
      </c>
      <c r="S413">
        <v>31</v>
      </c>
      <c r="T413" t="s">
        <v>29</v>
      </c>
      <c r="U413" t="s">
        <v>24</v>
      </c>
      <c r="V413" t="s">
        <v>24</v>
      </c>
    </row>
    <row r="414" spans="1:22" x14ac:dyDescent="0.25">
      <c r="A414" t="s">
        <v>1613</v>
      </c>
      <c r="B414">
        <v>-4.5069999999999997</v>
      </c>
      <c r="C414">
        <v>125.173</v>
      </c>
      <c r="D414">
        <v>460.2</v>
      </c>
      <c r="E414">
        <v>4.5</v>
      </c>
      <c r="F414" t="s">
        <v>23</v>
      </c>
      <c r="G414">
        <v>54</v>
      </c>
      <c r="H414">
        <v>47.2</v>
      </c>
      <c r="J414">
        <v>0.68</v>
      </c>
      <c r="K414" t="s">
        <v>24</v>
      </c>
      <c r="L414" t="s">
        <v>1614</v>
      </c>
      <c r="M414" t="s">
        <v>1615</v>
      </c>
      <c r="N414" t="s">
        <v>1616</v>
      </c>
      <c r="O414" t="s">
        <v>28</v>
      </c>
      <c r="Q414">
        <v>3.8</v>
      </c>
      <c r="S414">
        <v>27</v>
      </c>
      <c r="T414" t="s">
        <v>29</v>
      </c>
      <c r="U414" t="s">
        <v>24</v>
      </c>
      <c r="V414" t="s">
        <v>24</v>
      </c>
    </row>
    <row r="415" spans="1:22" x14ac:dyDescent="0.25">
      <c r="A415" t="s">
        <v>1617</v>
      </c>
      <c r="B415">
        <v>-7.4560000000000004</v>
      </c>
      <c r="C415">
        <v>119.767</v>
      </c>
      <c r="D415">
        <v>49.3</v>
      </c>
      <c r="E415">
        <v>4.8</v>
      </c>
      <c r="F415" t="s">
        <v>23</v>
      </c>
      <c r="G415">
        <v>95</v>
      </c>
      <c r="H415">
        <v>70.5</v>
      </c>
      <c r="J415">
        <v>0.95</v>
      </c>
      <c r="K415" t="s">
        <v>24</v>
      </c>
      <c r="L415" t="s">
        <v>1618</v>
      </c>
      <c r="M415" t="s">
        <v>1619</v>
      </c>
      <c r="N415" t="s">
        <v>960</v>
      </c>
      <c r="O415" t="s">
        <v>28</v>
      </c>
      <c r="Q415">
        <v>5.3</v>
      </c>
      <c r="S415">
        <v>40</v>
      </c>
      <c r="T415" t="s">
        <v>29</v>
      </c>
      <c r="U415" t="s">
        <v>24</v>
      </c>
      <c r="V415" t="s">
        <v>24</v>
      </c>
    </row>
    <row r="416" spans="1:22" x14ac:dyDescent="0.25">
      <c r="A416" t="s">
        <v>1620</v>
      </c>
      <c r="B416">
        <v>-7.024</v>
      </c>
      <c r="C416">
        <v>125.23699999999999</v>
      </c>
      <c r="D416">
        <v>497.1</v>
      </c>
      <c r="E416">
        <v>4.5</v>
      </c>
      <c r="F416" t="s">
        <v>23</v>
      </c>
      <c r="G416">
        <v>25</v>
      </c>
      <c r="H416">
        <v>48</v>
      </c>
      <c r="J416">
        <v>0.83</v>
      </c>
      <c r="K416" t="s">
        <v>24</v>
      </c>
      <c r="L416" t="s">
        <v>1621</v>
      </c>
      <c r="M416" t="s">
        <v>1622</v>
      </c>
      <c r="N416" t="s">
        <v>1623</v>
      </c>
      <c r="O416" t="s">
        <v>28</v>
      </c>
      <c r="Q416">
        <v>13.1</v>
      </c>
      <c r="S416">
        <v>17</v>
      </c>
      <c r="T416" t="s">
        <v>29</v>
      </c>
      <c r="U416" t="s">
        <v>24</v>
      </c>
      <c r="V416" t="s">
        <v>24</v>
      </c>
    </row>
    <row r="417" spans="1:22" x14ac:dyDescent="0.25">
      <c r="A417" t="s">
        <v>1624</v>
      </c>
      <c r="B417">
        <v>-7.0225999999999997</v>
      </c>
      <c r="C417">
        <v>123.7894</v>
      </c>
      <c r="D417">
        <v>624.32000000000005</v>
      </c>
      <c r="E417">
        <v>4.7</v>
      </c>
      <c r="F417" t="s">
        <v>23</v>
      </c>
      <c r="H417">
        <v>29</v>
      </c>
      <c r="I417">
        <v>2.2200000000000002</v>
      </c>
      <c r="J417">
        <v>0.64</v>
      </c>
      <c r="K417" t="s">
        <v>24</v>
      </c>
      <c r="L417" t="s">
        <v>1625</v>
      </c>
      <c r="M417" t="s">
        <v>1626</v>
      </c>
      <c r="N417" t="s">
        <v>97</v>
      </c>
      <c r="O417" t="s">
        <v>28</v>
      </c>
      <c r="Q417">
        <v>2.5</v>
      </c>
      <c r="R417">
        <v>5.0999999999999997E-2</v>
      </c>
      <c r="T417" t="s">
        <v>29</v>
      </c>
      <c r="U417" t="s">
        <v>24</v>
      </c>
      <c r="V417" t="s">
        <v>24</v>
      </c>
    </row>
    <row r="418" spans="1:22" x14ac:dyDescent="0.25">
      <c r="A418" t="s">
        <v>1627</v>
      </c>
      <c r="B418">
        <v>-7.3308</v>
      </c>
      <c r="C418">
        <v>120.0106</v>
      </c>
      <c r="D418">
        <v>549.91999999999996</v>
      </c>
      <c r="E418">
        <v>6.1</v>
      </c>
      <c r="F418" t="s">
        <v>1564</v>
      </c>
      <c r="H418">
        <v>34</v>
      </c>
      <c r="I418">
        <v>2.3149999999999999</v>
      </c>
      <c r="J418">
        <v>1.04</v>
      </c>
      <c r="K418" t="s">
        <v>24</v>
      </c>
      <c r="L418" t="s">
        <v>1628</v>
      </c>
      <c r="M418" t="s">
        <v>1629</v>
      </c>
      <c r="N418" t="s">
        <v>1630</v>
      </c>
      <c r="O418" t="s">
        <v>28</v>
      </c>
      <c r="Q418">
        <v>3.3</v>
      </c>
      <c r="T418" t="s">
        <v>29</v>
      </c>
      <c r="U418" t="s">
        <v>24</v>
      </c>
      <c r="V418" t="s">
        <v>24</v>
      </c>
    </row>
    <row r="419" spans="1:22" x14ac:dyDescent="0.25">
      <c r="A419" t="s">
        <v>1631</v>
      </c>
      <c r="B419">
        <v>-7.4516</v>
      </c>
      <c r="C419">
        <v>119.785</v>
      </c>
      <c r="D419">
        <v>541.1</v>
      </c>
      <c r="E419">
        <v>4.7</v>
      </c>
      <c r="F419" t="s">
        <v>23</v>
      </c>
      <c r="H419">
        <v>180</v>
      </c>
      <c r="I419">
        <v>2.4209999999999998</v>
      </c>
      <c r="J419">
        <v>0.71</v>
      </c>
      <c r="K419" t="s">
        <v>24</v>
      </c>
      <c r="L419" t="s">
        <v>1632</v>
      </c>
      <c r="M419" t="s">
        <v>1633</v>
      </c>
      <c r="N419" t="s">
        <v>292</v>
      </c>
      <c r="O419" t="s">
        <v>28</v>
      </c>
      <c r="Q419">
        <v>12.7</v>
      </c>
      <c r="R419">
        <v>0.54900000000000004</v>
      </c>
      <c r="T419" t="s">
        <v>29</v>
      </c>
      <c r="U419" t="s">
        <v>24</v>
      </c>
      <c r="V419" t="s">
        <v>24</v>
      </c>
    </row>
    <row r="420" spans="1:22" x14ac:dyDescent="0.25">
      <c r="A420" t="s">
        <v>1634</v>
      </c>
      <c r="B420">
        <v>-4.5857999999999999</v>
      </c>
      <c r="C420">
        <v>124.10590000000001</v>
      </c>
      <c r="D420">
        <v>8.7899999999999991</v>
      </c>
      <c r="E420">
        <v>4.5999999999999996</v>
      </c>
      <c r="F420" t="s">
        <v>23</v>
      </c>
      <c r="H420">
        <v>54</v>
      </c>
      <c r="I420">
        <v>3.7639999999999998</v>
      </c>
      <c r="J420">
        <v>0.81</v>
      </c>
      <c r="K420" t="s">
        <v>24</v>
      </c>
      <c r="L420" t="s">
        <v>1635</v>
      </c>
      <c r="M420" t="s">
        <v>1636</v>
      </c>
      <c r="N420" t="s">
        <v>1637</v>
      </c>
      <c r="O420" t="s">
        <v>28</v>
      </c>
      <c r="Q420">
        <v>4.4000000000000004</v>
      </c>
      <c r="R420">
        <v>0.14599999999999999</v>
      </c>
      <c r="T420" t="s">
        <v>29</v>
      </c>
      <c r="U420" t="s">
        <v>24</v>
      </c>
      <c r="V420" t="s">
        <v>24</v>
      </c>
    </row>
    <row r="421" spans="1:22" x14ac:dyDescent="0.25">
      <c r="A421" t="s">
        <v>1638</v>
      </c>
      <c r="B421">
        <v>-4.5953999999999997</v>
      </c>
      <c r="C421">
        <v>123.98739999999999</v>
      </c>
      <c r="D421">
        <v>33.82</v>
      </c>
      <c r="E421">
        <v>4.5999999999999996</v>
      </c>
      <c r="F421" t="s">
        <v>23</v>
      </c>
      <c r="H421">
        <v>81</v>
      </c>
      <c r="I421">
        <v>3.7320000000000002</v>
      </c>
      <c r="J421">
        <v>1.03</v>
      </c>
      <c r="K421" t="s">
        <v>24</v>
      </c>
      <c r="L421" t="s">
        <v>1639</v>
      </c>
      <c r="M421" t="s">
        <v>1640</v>
      </c>
      <c r="N421" t="s">
        <v>1641</v>
      </c>
      <c r="O421" t="s">
        <v>28</v>
      </c>
      <c r="Q421">
        <v>5.8</v>
      </c>
      <c r="R421">
        <v>0.11899999999999999</v>
      </c>
      <c r="T421" t="s">
        <v>29</v>
      </c>
      <c r="U421" t="s">
        <v>24</v>
      </c>
      <c r="V421" t="s">
        <v>24</v>
      </c>
    </row>
    <row r="422" spans="1:22" x14ac:dyDescent="0.25">
      <c r="A422" t="s">
        <v>1642</v>
      </c>
      <c r="B422">
        <v>-5.6306000000000003</v>
      </c>
      <c r="C422">
        <v>122.49809999999999</v>
      </c>
      <c r="D422">
        <v>18.52</v>
      </c>
      <c r="E422">
        <v>4.5</v>
      </c>
      <c r="F422" t="s">
        <v>23</v>
      </c>
      <c r="H422">
        <v>69</v>
      </c>
      <c r="I422">
        <v>2.802</v>
      </c>
      <c r="J422">
        <v>1.25</v>
      </c>
      <c r="K422" t="s">
        <v>24</v>
      </c>
      <c r="L422" t="s">
        <v>1643</v>
      </c>
      <c r="M422" t="s">
        <v>1644</v>
      </c>
      <c r="N422" t="s">
        <v>972</v>
      </c>
      <c r="O422" t="s">
        <v>28</v>
      </c>
      <c r="Q422">
        <v>4.4000000000000004</v>
      </c>
      <c r="R422">
        <v>0.122</v>
      </c>
      <c r="T422" t="s">
        <v>29</v>
      </c>
      <c r="U422" t="s">
        <v>24</v>
      </c>
      <c r="V422" t="s">
        <v>24</v>
      </c>
    </row>
    <row r="423" spans="1:22" x14ac:dyDescent="0.25">
      <c r="A423" t="s">
        <v>1645</v>
      </c>
      <c r="B423">
        <v>-7.0057999999999998</v>
      </c>
      <c r="C423">
        <v>125.1052</v>
      </c>
      <c r="D423">
        <v>518.22</v>
      </c>
      <c r="E423">
        <v>4.5999999999999996</v>
      </c>
      <c r="F423" t="s">
        <v>23</v>
      </c>
      <c r="H423">
        <v>67</v>
      </c>
      <c r="I423">
        <v>2.8540000000000001</v>
      </c>
      <c r="J423">
        <v>0.71</v>
      </c>
      <c r="K423" t="s">
        <v>24</v>
      </c>
      <c r="L423" t="s">
        <v>1646</v>
      </c>
      <c r="M423" t="s">
        <v>1647</v>
      </c>
      <c r="N423" t="s">
        <v>1648</v>
      </c>
      <c r="O423" t="s">
        <v>28</v>
      </c>
      <c r="Q423">
        <v>10.1</v>
      </c>
      <c r="R423">
        <v>8.5000000000000006E-2</v>
      </c>
      <c r="T423" t="s">
        <v>29</v>
      </c>
      <c r="U423" t="s">
        <v>24</v>
      </c>
      <c r="V423" t="s">
        <v>24</v>
      </c>
    </row>
    <row r="424" spans="1:22" x14ac:dyDescent="0.25">
      <c r="A424" t="s">
        <v>1649</v>
      </c>
      <c r="B424">
        <v>-7.1562000000000001</v>
      </c>
      <c r="C424">
        <v>120.85120000000001</v>
      </c>
      <c r="D424">
        <v>3.84</v>
      </c>
      <c r="E424">
        <v>4.5999999999999996</v>
      </c>
      <c r="F424" t="s">
        <v>23</v>
      </c>
      <c r="H424">
        <v>58</v>
      </c>
      <c r="I424">
        <v>2.0110000000000001</v>
      </c>
      <c r="J424">
        <v>1.21</v>
      </c>
      <c r="K424" t="s">
        <v>24</v>
      </c>
      <c r="L424" t="s">
        <v>1650</v>
      </c>
      <c r="M424" t="s">
        <v>1651</v>
      </c>
      <c r="N424" t="s">
        <v>1652</v>
      </c>
      <c r="O424" t="s">
        <v>28</v>
      </c>
      <c r="Q424">
        <v>3.7</v>
      </c>
      <c r="R424">
        <v>0.122</v>
      </c>
      <c r="T424" t="s">
        <v>29</v>
      </c>
      <c r="U424" t="s">
        <v>24</v>
      </c>
      <c r="V424" t="s">
        <v>24</v>
      </c>
    </row>
    <row r="425" spans="1:22" x14ac:dyDescent="0.25">
      <c r="A425" t="s">
        <v>1653</v>
      </c>
      <c r="B425">
        <v>-7.4615</v>
      </c>
      <c r="C425">
        <v>123.19670000000001</v>
      </c>
      <c r="D425">
        <v>550.29999999999995</v>
      </c>
      <c r="E425">
        <v>4.9000000000000004</v>
      </c>
      <c r="F425" t="s">
        <v>23</v>
      </c>
      <c r="H425">
        <v>40</v>
      </c>
      <c r="I425">
        <v>1.504</v>
      </c>
      <c r="J425">
        <v>0.95</v>
      </c>
      <c r="K425" t="s">
        <v>24</v>
      </c>
      <c r="L425" t="s">
        <v>1654</v>
      </c>
      <c r="M425" t="s">
        <v>1655</v>
      </c>
      <c r="N425" t="s">
        <v>1656</v>
      </c>
      <c r="O425" t="s">
        <v>28</v>
      </c>
      <c r="Q425">
        <v>5.7</v>
      </c>
      <c r="R425">
        <v>5.7000000000000002E-2</v>
      </c>
      <c r="T425" t="s">
        <v>29</v>
      </c>
      <c r="U425" t="s">
        <v>24</v>
      </c>
      <c r="V425" t="s">
        <v>24</v>
      </c>
    </row>
    <row r="426" spans="1:22" x14ac:dyDescent="0.25">
      <c r="A426" t="s">
        <v>1657</v>
      </c>
      <c r="B426">
        <v>-7.1044999999999998</v>
      </c>
      <c r="C426">
        <v>120.3147</v>
      </c>
      <c r="D426">
        <v>579</v>
      </c>
      <c r="E426">
        <v>5.5</v>
      </c>
      <c r="F426" t="s">
        <v>734</v>
      </c>
      <c r="H426">
        <v>30</v>
      </c>
      <c r="I426">
        <v>4.7140000000000004</v>
      </c>
      <c r="J426">
        <v>0.94</v>
      </c>
      <c r="K426" t="s">
        <v>24</v>
      </c>
      <c r="L426" t="s">
        <v>1658</v>
      </c>
      <c r="M426" t="s">
        <v>1659</v>
      </c>
      <c r="N426" t="s">
        <v>1660</v>
      </c>
      <c r="O426" t="s">
        <v>28</v>
      </c>
      <c r="Q426">
        <v>1.9</v>
      </c>
      <c r="R426">
        <v>6.3E-2</v>
      </c>
      <c r="S426">
        <v>24</v>
      </c>
      <c r="T426" t="s">
        <v>29</v>
      </c>
      <c r="U426" t="s">
        <v>24</v>
      </c>
      <c r="V426" t="s">
        <v>24</v>
      </c>
    </row>
    <row r="427" spans="1:22" x14ac:dyDescent="0.25">
      <c r="A427" t="s">
        <v>1661</v>
      </c>
      <c r="B427">
        <v>-7.4215999999999998</v>
      </c>
      <c r="C427">
        <v>119.8364</v>
      </c>
      <c r="D427">
        <v>436.81</v>
      </c>
      <c r="E427">
        <v>4.5</v>
      </c>
      <c r="F427" t="s">
        <v>23</v>
      </c>
      <c r="H427">
        <v>58</v>
      </c>
      <c r="I427">
        <v>2.3929999999999998</v>
      </c>
      <c r="J427">
        <v>1.1100000000000001</v>
      </c>
      <c r="K427" t="s">
        <v>24</v>
      </c>
      <c r="L427" t="s">
        <v>1662</v>
      </c>
      <c r="M427" t="s">
        <v>1663</v>
      </c>
      <c r="N427" t="s">
        <v>487</v>
      </c>
      <c r="O427" t="s">
        <v>28</v>
      </c>
      <c r="Q427">
        <v>7.4</v>
      </c>
      <c r="R427">
        <v>8.3000000000000004E-2</v>
      </c>
      <c r="S427">
        <v>46</v>
      </c>
      <c r="T427" t="s">
        <v>29</v>
      </c>
      <c r="U427" t="s">
        <v>24</v>
      </c>
      <c r="V427" t="s">
        <v>24</v>
      </c>
    </row>
    <row r="428" spans="1:22" x14ac:dyDescent="0.25">
      <c r="A428" t="s">
        <v>1664</v>
      </c>
      <c r="B428">
        <v>-6.7782</v>
      </c>
      <c r="C428">
        <v>125.1995</v>
      </c>
      <c r="D428">
        <v>533.54</v>
      </c>
      <c r="E428">
        <v>4.7</v>
      </c>
      <c r="F428" t="s">
        <v>23</v>
      </c>
      <c r="H428">
        <v>33</v>
      </c>
      <c r="I428">
        <v>3.0979999999999999</v>
      </c>
      <c r="J428">
        <v>0.7</v>
      </c>
      <c r="K428" t="s">
        <v>24</v>
      </c>
      <c r="L428" t="s">
        <v>1665</v>
      </c>
      <c r="M428" t="s">
        <v>1666</v>
      </c>
      <c r="N428" t="s">
        <v>1667</v>
      </c>
      <c r="O428" t="s">
        <v>28</v>
      </c>
      <c r="Q428">
        <v>7.5</v>
      </c>
      <c r="R428">
        <v>7.0000000000000007E-2</v>
      </c>
      <c r="S428">
        <v>65</v>
      </c>
      <c r="T428" t="s">
        <v>29</v>
      </c>
      <c r="U428" t="s">
        <v>24</v>
      </c>
      <c r="V428" t="s">
        <v>24</v>
      </c>
    </row>
    <row r="429" spans="1:22" x14ac:dyDescent="0.25">
      <c r="A429" t="s">
        <v>1668</v>
      </c>
      <c r="B429">
        <v>-7.0705999999999998</v>
      </c>
      <c r="C429">
        <v>124.8288</v>
      </c>
      <c r="D429">
        <v>31.42</v>
      </c>
      <c r="E429">
        <v>4.5</v>
      </c>
      <c r="F429" t="s">
        <v>23</v>
      </c>
      <c r="H429">
        <v>53</v>
      </c>
      <c r="I429">
        <v>2.7240000000000002</v>
      </c>
      <c r="J429">
        <v>1.02</v>
      </c>
      <c r="K429" t="s">
        <v>24</v>
      </c>
      <c r="L429" t="s">
        <v>1669</v>
      </c>
      <c r="M429" t="s">
        <v>1670</v>
      </c>
      <c r="N429" t="s">
        <v>1671</v>
      </c>
      <c r="O429" t="s">
        <v>28</v>
      </c>
      <c r="Q429">
        <v>4.2</v>
      </c>
      <c r="R429">
        <v>0.13900000000000001</v>
      </c>
      <c r="S429">
        <v>15</v>
      </c>
      <c r="T429" t="s">
        <v>29</v>
      </c>
      <c r="U429" t="s">
        <v>24</v>
      </c>
      <c r="V429" t="s">
        <v>24</v>
      </c>
    </row>
    <row r="430" spans="1:22" x14ac:dyDescent="0.25">
      <c r="A430" t="s">
        <v>1672</v>
      </c>
      <c r="B430">
        <v>-7.3048000000000002</v>
      </c>
      <c r="C430">
        <v>120.37439999999999</v>
      </c>
      <c r="D430">
        <v>532.86</v>
      </c>
      <c r="E430">
        <v>4.5</v>
      </c>
      <c r="F430" t="s">
        <v>23</v>
      </c>
      <c r="H430">
        <v>34</v>
      </c>
      <c r="I430">
        <v>2.27</v>
      </c>
      <c r="J430">
        <v>0.57999999999999996</v>
      </c>
      <c r="K430" t="s">
        <v>24</v>
      </c>
      <c r="L430" t="s">
        <v>1673</v>
      </c>
      <c r="M430" t="s">
        <v>1674</v>
      </c>
      <c r="N430" t="s">
        <v>372</v>
      </c>
      <c r="O430" t="s">
        <v>28</v>
      </c>
      <c r="Q430">
        <v>5.7</v>
      </c>
      <c r="R430">
        <v>9.9000000000000005E-2</v>
      </c>
      <c r="S430">
        <v>30</v>
      </c>
      <c r="T430" t="s">
        <v>29</v>
      </c>
      <c r="U430" t="s">
        <v>24</v>
      </c>
      <c r="V430" t="s">
        <v>24</v>
      </c>
    </row>
    <row r="431" spans="1:22" x14ac:dyDescent="0.25">
      <c r="A431" t="s">
        <v>1675</v>
      </c>
      <c r="B431">
        <v>-7.2927999999999997</v>
      </c>
      <c r="C431">
        <v>123.72069999999999</v>
      </c>
      <c r="D431">
        <v>547.04</v>
      </c>
      <c r="E431">
        <v>5.2</v>
      </c>
      <c r="F431" t="s">
        <v>23</v>
      </c>
      <c r="H431">
        <v>18</v>
      </c>
      <c r="I431">
        <v>1.984</v>
      </c>
      <c r="J431">
        <v>0.84</v>
      </c>
      <c r="K431" t="s">
        <v>24</v>
      </c>
      <c r="L431" t="s">
        <v>1676</v>
      </c>
      <c r="M431" t="s">
        <v>1677</v>
      </c>
      <c r="N431" t="s">
        <v>1678</v>
      </c>
      <c r="O431" t="s">
        <v>28</v>
      </c>
      <c r="Q431">
        <v>4.8</v>
      </c>
      <c r="R431">
        <v>4.7E-2</v>
      </c>
      <c r="S431">
        <v>151</v>
      </c>
      <c r="T431" t="s">
        <v>29</v>
      </c>
      <c r="U431" t="s">
        <v>24</v>
      </c>
      <c r="V431" t="s">
        <v>24</v>
      </c>
    </row>
    <row r="432" spans="1:22" x14ac:dyDescent="0.25">
      <c r="A432" t="s">
        <v>1679</v>
      </c>
      <c r="B432">
        <v>-7.0267999999999997</v>
      </c>
      <c r="C432">
        <v>125.0489</v>
      </c>
      <c r="D432">
        <v>541.91999999999996</v>
      </c>
      <c r="E432">
        <v>4.5999999999999996</v>
      </c>
      <c r="F432" t="s">
        <v>23</v>
      </c>
      <c r="H432">
        <v>52</v>
      </c>
      <c r="I432">
        <v>2.819</v>
      </c>
      <c r="J432">
        <v>0.75</v>
      </c>
      <c r="K432" t="s">
        <v>24</v>
      </c>
      <c r="L432" t="s">
        <v>1680</v>
      </c>
      <c r="M432" t="s">
        <v>1681</v>
      </c>
      <c r="N432" t="s">
        <v>1682</v>
      </c>
      <c r="O432" t="s">
        <v>28</v>
      </c>
      <c r="Q432">
        <v>3.4</v>
      </c>
      <c r="R432">
        <v>8.7999999999999995E-2</v>
      </c>
      <c r="S432">
        <v>40</v>
      </c>
      <c r="T432" t="s">
        <v>29</v>
      </c>
      <c r="U432" t="s">
        <v>24</v>
      </c>
      <c r="V432" t="s">
        <v>24</v>
      </c>
    </row>
    <row r="433" spans="1:22" x14ac:dyDescent="0.25">
      <c r="A433" t="s">
        <v>1683</v>
      </c>
      <c r="B433">
        <v>-7.0787000000000004</v>
      </c>
      <c r="C433">
        <v>124.98309999999999</v>
      </c>
      <c r="D433">
        <v>502.76</v>
      </c>
      <c r="E433">
        <v>4.5</v>
      </c>
      <c r="F433" t="s">
        <v>23</v>
      </c>
      <c r="H433">
        <v>52</v>
      </c>
      <c r="I433">
        <v>2.7519999999999998</v>
      </c>
      <c r="J433">
        <v>1.01</v>
      </c>
      <c r="K433" t="s">
        <v>24</v>
      </c>
      <c r="L433" t="s">
        <v>1684</v>
      </c>
      <c r="M433" t="s">
        <v>1685</v>
      </c>
      <c r="N433" t="s">
        <v>1686</v>
      </c>
      <c r="O433" t="s">
        <v>28</v>
      </c>
      <c r="P433">
        <v>10.8</v>
      </c>
      <c r="Q433">
        <v>10.5</v>
      </c>
      <c r="R433">
        <v>0.191</v>
      </c>
      <c r="S433">
        <v>10</v>
      </c>
      <c r="T433" t="s">
        <v>29</v>
      </c>
      <c r="U433" t="s">
        <v>24</v>
      </c>
      <c r="V433" t="s">
        <v>24</v>
      </c>
    </row>
    <row r="434" spans="1:22" x14ac:dyDescent="0.25">
      <c r="A434" t="s">
        <v>1687</v>
      </c>
      <c r="B434">
        <v>-7.3608000000000002</v>
      </c>
      <c r="C434">
        <v>120.59910000000001</v>
      </c>
      <c r="D434">
        <v>531.9</v>
      </c>
      <c r="E434">
        <v>4.5</v>
      </c>
      <c r="F434" t="s">
        <v>23</v>
      </c>
      <c r="H434">
        <v>70</v>
      </c>
      <c r="I434">
        <v>2.0579999999999998</v>
      </c>
      <c r="J434">
        <v>1.1100000000000001</v>
      </c>
      <c r="K434" t="s">
        <v>24</v>
      </c>
      <c r="L434" t="s">
        <v>1688</v>
      </c>
      <c r="M434" t="s">
        <v>1689</v>
      </c>
      <c r="N434" t="s">
        <v>1690</v>
      </c>
      <c r="O434" t="s">
        <v>28</v>
      </c>
      <c r="P434">
        <v>9.9</v>
      </c>
      <c r="Q434">
        <v>8.4</v>
      </c>
      <c r="R434">
        <v>0.11</v>
      </c>
      <c r="S434">
        <v>26</v>
      </c>
      <c r="T434" t="s">
        <v>29</v>
      </c>
      <c r="U434" t="s">
        <v>24</v>
      </c>
      <c r="V434" t="s">
        <v>24</v>
      </c>
    </row>
    <row r="435" spans="1:22" x14ac:dyDescent="0.25">
      <c r="A435" t="s">
        <v>1691</v>
      </c>
      <c r="B435">
        <v>-6.4504000000000001</v>
      </c>
      <c r="C435">
        <v>124.5128</v>
      </c>
      <c r="D435">
        <v>609.96</v>
      </c>
      <c r="E435">
        <v>4.7</v>
      </c>
      <c r="F435" t="s">
        <v>23</v>
      </c>
      <c r="H435">
        <v>33</v>
      </c>
      <c r="I435">
        <v>3.13</v>
      </c>
      <c r="J435">
        <v>0.66</v>
      </c>
      <c r="K435" t="s">
        <v>24</v>
      </c>
      <c r="L435" t="s">
        <v>1692</v>
      </c>
      <c r="M435" t="s">
        <v>1693</v>
      </c>
      <c r="N435" t="s">
        <v>1694</v>
      </c>
      <c r="O435" t="s">
        <v>28</v>
      </c>
      <c r="P435">
        <v>8.4</v>
      </c>
      <c r="Q435">
        <v>6.8</v>
      </c>
      <c r="R435">
        <v>8.4000000000000005E-2</v>
      </c>
      <c r="S435">
        <v>47</v>
      </c>
      <c r="T435" t="s">
        <v>29</v>
      </c>
      <c r="U435" t="s">
        <v>24</v>
      </c>
      <c r="V435" t="s">
        <v>24</v>
      </c>
    </row>
    <row r="436" spans="1:22" x14ac:dyDescent="0.25">
      <c r="A436" t="s">
        <v>1695</v>
      </c>
      <c r="B436">
        <v>-7.4668000000000001</v>
      </c>
      <c r="C436">
        <v>119.8937</v>
      </c>
      <c r="D436">
        <v>455.43</v>
      </c>
      <c r="E436">
        <v>4.5</v>
      </c>
      <c r="F436" t="s">
        <v>23</v>
      </c>
      <c r="H436">
        <v>71</v>
      </c>
      <c r="I436">
        <v>2.44</v>
      </c>
      <c r="J436">
        <v>0.68</v>
      </c>
      <c r="K436" t="s">
        <v>24</v>
      </c>
      <c r="L436" t="s">
        <v>1696</v>
      </c>
      <c r="M436" t="s">
        <v>1697</v>
      </c>
      <c r="N436" t="s">
        <v>1698</v>
      </c>
      <c r="O436" t="s">
        <v>28</v>
      </c>
      <c r="P436">
        <v>11.5</v>
      </c>
      <c r="Q436">
        <v>9.9</v>
      </c>
      <c r="R436">
        <v>0.156</v>
      </c>
      <c r="S436">
        <v>14</v>
      </c>
      <c r="T436" t="s">
        <v>29</v>
      </c>
      <c r="U436" t="s">
        <v>24</v>
      </c>
      <c r="V436" t="s">
        <v>24</v>
      </c>
    </row>
    <row r="437" spans="1:22" x14ac:dyDescent="0.25">
      <c r="A437" t="s">
        <v>1699</v>
      </c>
      <c r="B437">
        <v>-7.0617000000000001</v>
      </c>
      <c r="C437">
        <v>120.3597</v>
      </c>
      <c r="D437">
        <v>589.36</v>
      </c>
      <c r="E437">
        <v>5.0999999999999996</v>
      </c>
      <c r="F437" t="s">
        <v>23</v>
      </c>
      <c r="H437">
        <v>48</v>
      </c>
      <c r="I437">
        <v>2.1219999999999999</v>
      </c>
      <c r="J437">
        <v>0.84</v>
      </c>
      <c r="K437" t="s">
        <v>24</v>
      </c>
      <c r="L437" t="s">
        <v>1700</v>
      </c>
      <c r="M437" t="s">
        <v>1701</v>
      </c>
      <c r="N437" t="s">
        <v>1702</v>
      </c>
      <c r="O437" t="s">
        <v>28</v>
      </c>
      <c r="P437">
        <v>8.8000000000000007</v>
      </c>
      <c r="Q437">
        <v>4.5999999999999996</v>
      </c>
      <c r="R437">
        <v>4.5999999999999999E-2</v>
      </c>
      <c r="S437">
        <v>156</v>
      </c>
      <c r="T437" t="s">
        <v>29</v>
      </c>
      <c r="U437" t="s">
        <v>24</v>
      </c>
      <c r="V437" t="s">
        <v>24</v>
      </c>
    </row>
    <row r="438" spans="1:22" x14ac:dyDescent="0.25">
      <c r="A438" t="s">
        <v>1703</v>
      </c>
      <c r="B438">
        <v>-6.9082999999999997</v>
      </c>
      <c r="C438">
        <v>125.01390000000001</v>
      </c>
      <c r="D438">
        <v>546.25</v>
      </c>
      <c r="E438">
        <v>4.8</v>
      </c>
      <c r="F438" t="s">
        <v>23</v>
      </c>
      <c r="H438">
        <v>25</v>
      </c>
      <c r="I438">
        <v>2.923</v>
      </c>
      <c r="J438">
        <v>0.68</v>
      </c>
      <c r="K438" t="s">
        <v>24</v>
      </c>
      <c r="L438" t="s">
        <v>1704</v>
      </c>
      <c r="M438" t="s">
        <v>1705</v>
      </c>
      <c r="N438" t="s">
        <v>361</v>
      </c>
      <c r="O438" t="s">
        <v>28</v>
      </c>
      <c r="P438">
        <v>9.3000000000000007</v>
      </c>
      <c r="Q438">
        <v>5.7</v>
      </c>
      <c r="R438">
        <v>5.0999999999999997E-2</v>
      </c>
      <c r="S438">
        <v>123</v>
      </c>
      <c r="T438" t="s">
        <v>29</v>
      </c>
      <c r="U438" t="s">
        <v>24</v>
      </c>
      <c r="V438" t="s">
        <v>24</v>
      </c>
    </row>
    <row r="439" spans="1:22" x14ac:dyDescent="0.25">
      <c r="A439" t="s">
        <v>1706</v>
      </c>
      <c r="B439">
        <v>-7.0102000000000002</v>
      </c>
      <c r="C439">
        <v>124.9234</v>
      </c>
      <c r="D439">
        <v>522.32000000000005</v>
      </c>
      <c r="E439">
        <v>4.5</v>
      </c>
      <c r="F439" t="s">
        <v>23</v>
      </c>
      <c r="H439">
        <v>26</v>
      </c>
      <c r="I439">
        <v>2.8029999999999999</v>
      </c>
      <c r="J439">
        <v>0.49</v>
      </c>
      <c r="K439" t="s">
        <v>24</v>
      </c>
      <c r="L439" t="s">
        <v>1707</v>
      </c>
      <c r="M439" t="s">
        <v>1708</v>
      </c>
      <c r="N439" t="s">
        <v>646</v>
      </c>
      <c r="O439" t="s">
        <v>28</v>
      </c>
      <c r="P439">
        <v>10.3</v>
      </c>
      <c r="Q439">
        <v>7.4</v>
      </c>
      <c r="R439">
        <v>7.9000000000000001E-2</v>
      </c>
      <c r="S439">
        <v>48</v>
      </c>
      <c r="T439" t="s">
        <v>29</v>
      </c>
      <c r="U439" t="s">
        <v>24</v>
      </c>
      <c r="V439" t="s">
        <v>24</v>
      </c>
    </row>
    <row r="440" spans="1:22" x14ac:dyDescent="0.25">
      <c r="A440" t="s">
        <v>1709</v>
      </c>
      <c r="B440">
        <v>-7.2968000000000002</v>
      </c>
      <c r="C440">
        <v>122.5348</v>
      </c>
      <c r="D440">
        <v>552.05999999999995</v>
      </c>
      <c r="E440">
        <v>7</v>
      </c>
      <c r="F440" t="s">
        <v>1564</v>
      </c>
      <c r="H440">
        <v>12</v>
      </c>
      <c r="I440">
        <v>1.3620000000000001</v>
      </c>
      <c r="J440">
        <v>1.1200000000000001</v>
      </c>
      <c r="K440" t="s">
        <v>24</v>
      </c>
      <c r="L440" t="s">
        <v>1710</v>
      </c>
      <c r="M440" t="s">
        <v>1711</v>
      </c>
      <c r="N440" t="s">
        <v>1712</v>
      </c>
      <c r="O440" t="s">
        <v>28</v>
      </c>
      <c r="P440">
        <v>7.1</v>
      </c>
      <c r="Q440">
        <v>3.6</v>
      </c>
      <c r="T440" t="s">
        <v>29</v>
      </c>
      <c r="U440" t="s">
        <v>24</v>
      </c>
      <c r="V440" t="s">
        <v>24</v>
      </c>
    </row>
    <row r="441" spans="1:22" x14ac:dyDescent="0.25">
      <c r="A441" t="s">
        <v>1713</v>
      </c>
      <c r="B441">
        <v>-7.4778000000000002</v>
      </c>
      <c r="C441">
        <v>122.5352</v>
      </c>
      <c r="D441">
        <v>565.03</v>
      </c>
      <c r="E441">
        <v>4.9000000000000004</v>
      </c>
      <c r="F441" t="s">
        <v>23</v>
      </c>
      <c r="H441">
        <v>52</v>
      </c>
      <c r="I441">
        <v>1.1870000000000001</v>
      </c>
      <c r="J441">
        <v>0.81</v>
      </c>
      <c r="K441" t="s">
        <v>24</v>
      </c>
      <c r="L441" t="s">
        <v>1714</v>
      </c>
      <c r="M441" t="s">
        <v>1715</v>
      </c>
      <c r="N441" t="s">
        <v>1716</v>
      </c>
      <c r="O441" t="s">
        <v>28</v>
      </c>
      <c r="P441">
        <v>10.1</v>
      </c>
      <c r="Q441">
        <v>6.7</v>
      </c>
      <c r="R441">
        <v>6.6000000000000003E-2</v>
      </c>
      <c r="S441">
        <v>73</v>
      </c>
      <c r="T441" t="s">
        <v>29</v>
      </c>
      <c r="U441" t="s">
        <v>24</v>
      </c>
      <c r="V441" t="s">
        <v>24</v>
      </c>
    </row>
    <row r="442" spans="1:22" x14ac:dyDescent="0.25">
      <c r="A442" t="s">
        <v>1717</v>
      </c>
      <c r="B442">
        <v>-7.3144</v>
      </c>
      <c r="C442">
        <v>120.6939</v>
      </c>
      <c r="D442">
        <v>527.79999999999995</v>
      </c>
      <c r="E442">
        <v>4.5</v>
      </c>
      <c r="F442" t="s">
        <v>23</v>
      </c>
      <c r="H442">
        <v>48</v>
      </c>
      <c r="I442">
        <v>2.0150000000000001</v>
      </c>
      <c r="J442">
        <v>0.74</v>
      </c>
      <c r="K442" t="s">
        <v>24</v>
      </c>
      <c r="L442" t="s">
        <v>1718</v>
      </c>
      <c r="M442" t="s">
        <v>1719</v>
      </c>
      <c r="N442" t="s">
        <v>599</v>
      </c>
      <c r="O442" t="s">
        <v>28</v>
      </c>
      <c r="P442">
        <v>5.5</v>
      </c>
      <c r="Q442">
        <v>7.6</v>
      </c>
      <c r="R442">
        <v>6.7000000000000004E-2</v>
      </c>
      <c r="S442">
        <v>64</v>
      </c>
      <c r="T442" t="s">
        <v>29</v>
      </c>
      <c r="U442" t="s">
        <v>24</v>
      </c>
      <c r="V442" t="s">
        <v>24</v>
      </c>
    </row>
    <row r="443" spans="1:22" x14ac:dyDescent="0.25">
      <c r="A443" t="s">
        <v>1720</v>
      </c>
      <c r="B443">
        <v>-7.1409000000000002</v>
      </c>
      <c r="C443">
        <v>123.74460000000001</v>
      </c>
      <c r="D443">
        <v>577.09</v>
      </c>
      <c r="E443">
        <v>4.8</v>
      </c>
      <c r="F443" t="s">
        <v>23</v>
      </c>
      <c r="H443">
        <v>26</v>
      </c>
      <c r="I443">
        <v>2.105</v>
      </c>
      <c r="J443">
        <v>0.87</v>
      </c>
      <c r="K443" t="s">
        <v>24</v>
      </c>
      <c r="L443" t="s">
        <v>1721</v>
      </c>
      <c r="M443" t="s">
        <v>1722</v>
      </c>
      <c r="N443" t="s">
        <v>252</v>
      </c>
      <c r="O443" t="s">
        <v>28</v>
      </c>
      <c r="P443">
        <v>8.6</v>
      </c>
      <c r="Q443">
        <v>3.1</v>
      </c>
      <c r="R443">
        <v>5.8000000000000003E-2</v>
      </c>
      <c r="S443">
        <v>92</v>
      </c>
      <c r="T443" t="s">
        <v>29</v>
      </c>
      <c r="U443" t="s">
        <v>24</v>
      </c>
      <c r="V443" t="s">
        <v>24</v>
      </c>
    </row>
    <row r="444" spans="1:22" x14ac:dyDescent="0.25">
      <c r="A444" t="s">
        <v>1723</v>
      </c>
      <c r="B444">
        <v>-7.4513999999999996</v>
      </c>
      <c r="C444">
        <v>120.2195</v>
      </c>
      <c r="D444">
        <v>413.44</v>
      </c>
      <c r="E444">
        <v>4.9000000000000004</v>
      </c>
      <c r="F444" t="s">
        <v>23</v>
      </c>
      <c r="H444">
        <v>49</v>
      </c>
      <c r="I444">
        <v>2.319</v>
      </c>
      <c r="J444">
        <v>0.8</v>
      </c>
      <c r="K444" t="s">
        <v>24</v>
      </c>
      <c r="L444" t="s">
        <v>1724</v>
      </c>
      <c r="M444" t="s">
        <v>1725</v>
      </c>
      <c r="N444" t="s">
        <v>1726</v>
      </c>
      <c r="O444" t="s">
        <v>28</v>
      </c>
      <c r="P444">
        <v>9.6</v>
      </c>
      <c r="Q444">
        <v>6.8</v>
      </c>
      <c r="R444">
        <v>7.0999999999999994E-2</v>
      </c>
      <c r="S444">
        <v>63</v>
      </c>
      <c r="T444" t="s">
        <v>29</v>
      </c>
      <c r="U444" t="s">
        <v>24</v>
      </c>
      <c r="V444" t="s">
        <v>24</v>
      </c>
    </row>
    <row r="445" spans="1:22" x14ac:dyDescent="0.25">
      <c r="A445" t="s">
        <v>1727</v>
      </c>
      <c r="B445">
        <v>-7.2872000000000003</v>
      </c>
      <c r="C445">
        <v>124.9083</v>
      </c>
      <c r="D445">
        <v>544.82000000000005</v>
      </c>
      <c r="E445">
        <v>4.5</v>
      </c>
      <c r="F445" t="s">
        <v>23</v>
      </c>
      <c r="H445">
        <v>37</v>
      </c>
      <c r="I445">
        <v>2.532</v>
      </c>
      <c r="J445">
        <v>0.98</v>
      </c>
      <c r="K445" t="s">
        <v>24</v>
      </c>
      <c r="L445" t="s">
        <v>1728</v>
      </c>
      <c r="M445" t="s">
        <v>1729</v>
      </c>
      <c r="N445" t="s">
        <v>1730</v>
      </c>
      <c r="O445" t="s">
        <v>28</v>
      </c>
      <c r="P445">
        <v>9.3000000000000007</v>
      </c>
      <c r="Q445">
        <v>5.2</v>
      </c>
      <c r="R445">
        <v>9.0999999999999998E-2</v>
      </c>
      <c r="S445">
        <v>35</v>
      </c>
      <c r="T445" t="s">
        <v>29</v>
      </c>
      <c r="U445" t="s">
        <v>24</v>
      </c>
      <c r="V445" t="s">
        <v>24</v>
      </c>
    </row>
    <row r="446" spans="1:22" x14ac:dyDescent="0.25">
      <c r="A446" t="s">
        <v>1731</v>
      </c>
      <c r="B446">
        <v>-7.2138999999999998</v>
      </c>
      <c r="C446">
        <v>123.6216</v>
      </c>
      <c r="D446">
        <v>557.6</v>
      </c>
      <c r="E446">
        <v>4.5</v>
      </c>
      <c r="F446" t="s">
        <v>23</v>
      </c>
      <c r="H446">
        <v>38</v>
      </c>
      <c r="I446">
        <v>1.968</v>
      </c>
      <c r="J446">
        <v>1.1299999999999999</v>
      </c>
      <c r="K446" t="s">
        <v>24</v>
      </c>
      <c r="L446" t="s">
        <v>1732</v>
      </c>
      <c r="M446" t="s">
        <v>1733</v>
      </c>
      <c r="N446" t="s">
        <v>1734</v>
      </c>
      <c r="O446" t="s">
        <v>28</v>
      </c>
      <c r="P446">
        <v>10.5</v>
      </c>
      <c r="Q446">
        <v>5.9</v>
      </c>
      <c r="R446">
        <v>0.09</v>
      </c>
      <c r="S446">
        <v>36</v>
      </c>
      <c r="T446" t="s">
        <v>29</v>
      </c>
      <c r="U446" t="s">
        <v>24</v>
      </c>
      <c r="V446" t="s">
        <v>24</v>
      </c>
    </row>
    <row r="447" spans="1:22" x14ac:dyDescent="0.25">
      <c r="A447" t="s">
        <v>1735</v>
      </c>
      <c r="B447">
        <v>-5.2192999999999996</v>
      </c>
      <c r="C447">
        <v>118.9669</v>
      </c>
      <c r="D447">
        <v>15.59</v>
      </c>
      <c r="E447">
        <v>4.5999999999999996</v>
      </c>
      <c r="F447" t="s">
        <v>23</v>
      </c>
      <c r="H447">
        <v>46</v>
      </c>
      <c r="I447">
        <v>0.80700000000000005</v>
      </c>
      <c r="J447">
        <v>0.51</v>
      </c>
      <c r="K447" t="s">
        <v>24</v>
      </c>
      <c r="L447" t="s">
        <v>1736</v>
      </c>
      <c r="M447" t="s">
        <v>1737</v>
      </c>
      <c r="N447" t="s">
        <v>1738</v>
      </c>
      <c r="O447" t="s">
        <v>28</v>
      </c>
      <c r="P447">
        <v>4.7</v>
      </c>
      <c r="Q447">
        <v>4.2</v>
      </c>
      <c r="R447">
        <v>0.1</v>
      </c>
      <c r="S447">
        <v>30</v>
      </c>
      <c r="T447" t="s">
        <v>29</v>
      </c>
      <c r="U447" t="s">
        <v>24</v>
      </c>
      <c r="V447" t="s">
        <v>24</v>
      </c>
    </row>
    <row r="448" spans="1:22" x14ac:dyDescent="0.25">
      <c r="A448" t="s">
        <v>1739</v>
      </c>
      <c r="B448">
        <v>-7.0091000000000001</v>
      </c>
      <c r="C448">
        <v>125.11320000000001</v>
      </c>
      <c r="D448">
        <v>501.13</v>
      </c>
      <c r="E448">
        <v>4.5999999999999996</v>
      </c>
      <c r="F448" t="s">
        <v>23</v>
      </c>
      <c r="H448">
        <v>40</v>
      </c>
      <c r="I448">
        <v>2.8540000000000001</v>
      </c>
      <c r="J448">
        <v>1.1299999999999999</v>
      </c>
      <c r="K448" t="s">
        <v>24</v>
      </c>
      <c r="L448" t="s">
        <v>1740</v>
      </c>
      <c r="M448" t="s">
        <v>1741</v>
      </c>
      <c r="N448" t="s">
        <v>1422</v>
      </c>
      <c r="O448" t="s">
        <v>28</v>
      </c>
      <c r="P448">
        <v>11.3</v>
      </c>
      <c r="Q448">
        <v>6.4</v>
      </c>
      <c r="R448">
        <v>7.0999999999999994E-2</v>
      </c>
      <c r="S448">
        <v>58</v>
      </c>
      <c r="T448" t="s">
        <v>29</v>
      </c>
      <c r="U448" t="s">
        <v>24</v>
      </c>
      <c r="V448" t="s">
        <v>24</v>
      </c>
    </row>
    <row r="449" spans="1:22" x14ac:dyDescent="0.25">
      <c r="A449" t="s">
        <v>1742</v>
      </c>
      <c r="B449">
        <v>-6.9596</v>
      </c>
      <c r="C449">
        <v>125.0498</v>
      </c>
      <c r="D449">
        <v>519.55999999999995</v>
      </c>
      <c r="E449">
        <v>4.5999999999999996</v>
      </c>
      <c r="F449" t="s">
        <v>23</v>
      </c>
      <c r="H449">
        <v>52</v>
      </c>
      <c r="I449">
        <v>2.883</v>
      </c>
      <c r="J449">
        <v>0.77</v>
      </c>
      <c r="K449" t="s">
        <v>24</v>
      </c>
      <c r="L449" t="s">
        <v>1743</v>
      </c>
      <c r="M449" t="s">
        <v>1744</v>
      </c>
      <c r="N449" t="s">
        <v>861</v>
      </c>
      <c r="O449" t="s">
        <v>28</v>
      </c>
      <c r="P449">
        <v>11</v>
      </c>
      <c r="Q449">
        <v>7.2</v>
      </c>
      <c r="R449">
        <v>6.5000000000000002E-2</v>
      </c>
      <c r="S449">
        <v>70</v>
      </c>
      <c r="T449" t="s">
        <v>29</v>
      </c>
      <c r="U449" t="s">
        <v>24</v>
      </c>
      <c r="V449" t="s">
        <v>24</v>
      </c>
    </row>
    <row r="450" spans="1:22" x14ac:dyDescent="0.25">
      <c r="A450" t="s">
        <v>1745</v>
      </c>
      <c r="B450">
        <v>-7.0080999999999998</v>
      </c>
      <c r="C450">
        <v>125.1516</v>
      </c>
      <c r="D450">
        <v>508.52</v>
      </c>
      <c r="E450">
        <v>4.5</v>
      </c>
      <c r="F450" t="s">
        <v>23</v>
      </c>
      <c r="H450">
        <v>28</v>
      </c>
      <c r="I450">
        <v>2.8660000000000001</v>
      </c>
      <c r="J450">
        <v>1.03</v>
      </c>
      <c r="K450" t="s">
        <v>24</v>
      </c>
      <c r="L450" t="s">
        <v>1746</v>
      </c>
      <c r="M450" t="s">
        <v>1747</v>
      </c>
      <c r="N450" t="s">
        <v>1682</v>
      </c>
      <c r="O450" t="s">
        <v>28</v>
      </c>
      <c r="P450">
        <v>10.3</v>
      </c>
      <c r="Q450">
        <v>6.6</v>
      </c>
      <c r="R450">
        <v>7.2999999999999995E-2</v>
      </c>
      <c r="S450">
        <v>55</v>
      </c>
      <c r="T450" t="s">
        <v>29</v>
      </c>
      <c r="U450" t="s">
        <v>24</v>
      </c>
      <c r="V450" t="s">
        <v>24</v>
      </c>
    </row>
    <row r="451" spans="1:22" x14ac:dyDescent="0.25">
      <c r="A451" t="s">
        <v>1748</v>
      </c>
      <c r="B451">
        <v>-7.4314999999999998</v>
      </c>
      <c r="C451">
        <v>120.00409999999999</v>
      </c>
      <c r="D451">
        <v>386.62</v>
      </c>
      <c r="E451">
        <v>4.5</v>
      </c>
      <c r="F451" t="s">
        <v>23</v>
      </c>
      <c r="H451">
        <v>57</v>
      </c>
      <c r="I451">
        <v>2.4140000000000001</v>
      </c>
      <c r="J451">
        <v>1.08</v>
      </c>
      <c r="K451" t="s">
        <v>24</v>
      </c>
      <c r="L451" t="s">
        <v>1749</v>
      </c>
      <c r="M451" t="s">
        <v>1750</v>
      </c>
      <c r="N451" t="s">
        <v>1751</v>
      </c>
      <c r="O451" t="s">
        <v>28</v>
      </c>
      <c r="P451">
        <v>8.5</v>
      </c>
      <c r="Q451">
        <v>5.8</v>
      </c>
      <c r="R451">
        <v>7.8E-2</v>
      </c>
      <c r="S451">
        <v>48</v>
      </c>
      <c r="T451" t="s">
        <v>29</v>
      </c>
      <c r="U451" t="s">
        <v>24</v>
      </c>
      <c r="V451" t="s">
        <v>24</v>
      </c>
    </row>
    <row r="452" spans="1:22" x14ac:dyDescent="0.25">
      <c r="A452" t="s">
        <v>1752</v>
      </c>
      <c r="B452">
        <v>-6.1794000000000002</v>
      </c>
      <c r="C452">
        <v>122.5613</v>
      </c>
      <c r="D452">
        <v>10</v>
      </c>
      <c r="E452">
        <v>4.5</v>
      </c>
      <c r="F452" t="s">
        <v>23</v>
      </c>
      <c r="H452">
        <v>90</v>
      </c>
      <c r="I452">
        <v>2.4609999999999999</v>
      </c>
      <c r="J452">
        <v>1.01</v>
      </c>
      <c r="K452" t="s">
        <v>24</v>
      </c>
      <c r="L452" t="s">
        <v>1753</v>
      </c>
      <c r="M452" t="s">
        <v>1754</v>
      </c>
      <c r="N452" t="s">
        <v>1755</v>
      </c>
      <c r="O452" t="s">
        <v>28</v>
      </c>
      <c r="P452">
        <v>6.5</v>
      </c>
      <c r="Q452">
        <v>1.9</v>
      </c>
      <c r="R452">
        <v>9.9000000000000005E-2</v>
      </c>
      <c r="S452">
        <v>30</v>
      </c>
      <c r="T452" t="s">
        <v>29</v>
      </c>
      <c r="U452" t="s">
        <v>24</v>
      </c>
      <c r="V452" t="s">
        <v>24</v>
      </c>
    </row>
    <row r="453" spans="1:22" x14ac:dyDescent="0.25">
      <c r="A453" t="s">
        <v>1756</v>
      </c>
      <c r="B453">
        <v>-7.2872000000000003</v>
      </c>
      <c r="C453">
        <v>122.4345</v>
      </c>
      <c r="D453">
        <v>533</v>
      </c>
      <c r="E453">
        <v>6</v>
      </c>
      <c r="F453" t="s">
        <v>1564</v>
      </c>
      <c r="H453">
        <v>10</v>
      </c>
      <c r="I453">
        <v>1.353</v>
      </c>
      <c r="J453">
        <v>1.17</v>
      </c>
      <c r="K453" t="s">
        <v>24</v>
      </c>
      <c r="L453" t="s">
        <v>1757</v>
      </c>
      <c r="M453" t="s">
        <v>1758</v>
      </c>
      <c r="N453" t="s">
        <v>523</v>
      </c>
      <c r="O453" t="s">
        <v>28</v>
      </c>
      <c r="P453">
        <v>5.5</v>
      </c>
      <c r="Q453">
        <v>3.4</v>
      </c>
      <c r="T453" t="s">
        <v>29</v>
      </c>
      <c r="U453" t="s">
        <v>24</v>
      </c>
      <c r="V453" t="s">
        <v>24</v>
      </c>
    </row>
    <row r="454" spans="1:22" x14ac:dyDescent="0.25">
      <c r="A454" t="s">
        <v>1759</v>
      </c>
      <c r="B454">
        <v>-7.2130999999999998</v>
      </c>
      <c r="C454">
        <v>122.5391</v>
      </c>
      <c r="D454">
        <v>520.29</v>
      </c>
      <c r="E454">
        <v>5.8</v>
      </c>
      <c r="F454" t="s">
        <v>23</v>
      </c>
      <c r="H454">
        <v>13</v>
      </c>
      <c r="I454">
        <v>6.1340000000000003</v>
      </c>
      <c r="J454">
        <v>0.88</v>
      </c>
      <c r="K454" t="s">
        <v>24</v>
      </c>
      <c r="L454" t="s">
        <v>1760</v>
      </c>
      <c r="M454" t="s">
        <v>1761</v>
      </c>
      <c r="N454" t="s">
        <v>1762</v>
      </c>
      <c r="O454" t="s">
        <v>28</v>
      </c>
      <c r="P454">
        <v>8.6999999999999993</v>
      </c>
      <c r="Q454">
        <v>5.0999999999999996</v>
      </c>
      <c r="R454">
        <v>5.8000000000000003E-2</v>
      </c>
      <c r="S454">
        <v>109</v>
      </c>
      <c r="T454" t="s">
        <v>29</v>
      </c>
      <c r="U454" t="s">
        <v>24</v>
      </c>
      <c r="V454" t="s">
        <v>24</v>
      </c>
    </row>
    <row r="455" spans="1:22" x14ac:dyDescent="0.25">
      <c r="A455" t="s">
        <v>1763</v>
      </c>
      <c r="B455">
        <v>-7.1791</v>
      </c>
      <c r="C455">
        <v>123.0432</v>
      </c>
      <c r="D455">
        <v>584.47</v>
      </c>
      <c r="E455">
        <v>4.5</v>
      </c>
      <c r="F455" t="s">
        <v>23</v>
      </c>
      <c r="H455">
        <v>52</v>
      </c>
      <c r="I455">
        <v>1.6519999999999999</v>
      </c>
      <c r="J455">
        <v>0.77</v>
      </c>
      <c r="K455" t="s">
        <v>24</v>
      </c>
      <c r="L455" t="s">
        <v>1764</v>
      </c>
      <c r="M455" t="s">
        <v>1765</v>
      </c>
      <c r="N455" t="s">
        <v>1766</v>
      </c>
      <c r="O455" t="s">
        <v>28</v>
      </c>
      <c r="P455">
        <v>14.4</v>
      </c>
      <c r="Q455">
        <v>11.1</v>
      </c>
      <c r="R455">
        <v>0.17100000000000001</v>
      </c>
      <c r="S455">
        <v>10</v>
      </c>
      <c r="T455" t="s">
        <v>29</v>
      </c>
      <c r="U455" t="s">
        <v>24</v>
      </c>
      <c r="V455" t="s">
        <v>24</v>
      </c>
    </row>
    <row r="456" spans="1:22" x14ac:dyDescent="0.25">
      <c r="A456" t="s">
        <v>1767</v>
      </c>
      <c r="B456">
        <v>-7.3158000000000003</v>
      </c>
      <c r="C456">
        <v>123.3802</v>
      </c>
      <c r="D456">
        <v>526</v>
      </c>
      <c r="E456">
        <v>6.3</v>
      </c>
      <c r="F456" t="s">
        <v>1564</v>
      </c>
      <c r="H456">
        <v>14</v>
      </c>
      <c r="I456">
        <v>1.732</v>
      </c>
      <c r="J456">
        <v>1.03</v>
      </c>
      <c r="K456" t="s">
        <v>24</v>
      </c>
      <c r="L456" t="s">
        <v>1768</v>
      </c>
      <c r="M456" t="s">
        <v>1769</v>
      </c>
      <c r="N456" t="s">
        <v>1770</v>
      </c>
      <c r="O456" t="s">
        <v>28</v>
      </c>
      <c r="P456">
        <v>5.6</v>
      </c>
      <c r="Q456">
        <v>1.9</v>
      </c>
      <c r="T456" t="s">
        <v>29</v>
      </c>
      <c r="U456" t="s">
        <v>24</v>
      </c>
      <c r="V456" t="s">
        <v>24</v>
      </c>
    </row>
    <row r="457" spans="1:22" x14ac:dyDescent="0.25">
      <c r="A457" t="s">
        <v>1771</v>
      </c>
      <c r="B457">
        <v>-6.3643000000000001</v>
      </c>
      <c r="C457">
        <v>122.3382</v>
      </c>
      <c r="D457">
        <v>10</v>
      </c>
      <c r="E457">
        <v>4.7</v>
      </c>
      <c r="F457" t="s">
        <v>23</v>
      </c>
      <c r="H457">
        <v>48</v>
      </c>
      <c r="I457">
        <v>2.258</v>
      </c>
      <c r="J457">
        <v>0.83</v>
      </c>
      <c r="K457" t="s">
        <v>24</v>
      </c>
      <c r="L457" t="s">
        <v>1772</v>
      </c>
      <c r="M457" t="s">
        <v>1773</v>
      </c>
      <c r="N457" t="s">
        <v>1774</v>
      </c>
      <c r="O457" t="s">
        <v>28</v>
      </c>
      <c r="P457">
        <v>3.9</v>
      </c>
      <c r="Q457">
        <v>1.9</v>
      </c>
      <c r="R457">
        <v>8.1000000000000003E-2</v>
      </c>
      <c r="S457">
        <v>47</v>
      </c>
      <c r="T457" t="s">
        <v>29</v>
      </c>
      <c r="U457" t="s">
        <v>24</v>
      </c>
      <c r="V457" t="s">
        <v>24</v>
      </c>
    </row>
    <row r="458" spans="1:22" x14ac:dyDescent="0.25">
      <c r="A458" t="s">
        <v>1775</v>
      </c>
      <c r="B458">
        <v>-7.0583</v>
      </c>
      <c r="C458">
        <v>124.8638</v>
      </c>
      <c r="D458">
        <v>564.99</v>
      </c>
      <c r="E458">
        <v>4.5</v>
      </c>
      <c r="F458" t="s">
        <v>23</v>
      </c>
      <c r="H458">
        <v>46</v>
      </c>
      <c r="I458">
        <v>2.7440000000000002</v>
      </c>
      <c r="J458">
        <v>0.86</v>
      </c>
      <c r="K458" t="s">
        <v>24</v>
      </c>
      <c r="L458" t="s">
        <v>1776</v>
      </c>
      <c r="M458" t="s">
        <v>1777</v>
      </c>
      <c r="N458" t="s">
        <v>1671</v>
      </c>
      <c r="O458" t="s">
        <v>28</v>
      </c>
      <c r="P458">
        <v>9.5</v>
      </c>
      <c r="Q458">
        <v>7.6</v>
      </c>
      <c r="R458">
        <v>5.8000000000000003E-2</v>
      </c>
      <c r="S458">
        <v>86</v>
      </c>
      <c r="T458" t="s">
        <v>29</v>
      </c>
      <c r="U458" t="s">
        <v>24</v>
      </c>
      <c r="V458" t="s">
        <v>24</v>
      </c>
    </row>
    <row r="459" spans="1:22" x14ac:dyDescent="0.25">
      <c r="A459" t="s">
        <v>1778</v>
      </c>
      <c r="B459">
        <v>-7.5498000000000003</v>
      </c>
      <c r="C459">
        <v>121.85890000000001</v>
      </c>
      <c r="D459">
        <v>8.56</v>
      </c>
      <c r="E459">
        <v>5</v>
      </c>
      <c r="F459" t="s">
        <v>23</v>
      </c>
      <c r="H459">
        <v>62</v>
      </c>
      <c r="I459">
        <v>1.1419999999999999</v>
      </c>
      <c r="J459">
        <v>0.5</v>
      </c>
      <c r="K459" t="s">
        <v>24</v>
      </c>
      <c r="L459" t="s">
        <v>1779</v>
      </c>
      <c r="M459" t="s">
        <v>1780</v>
      </c>
      <c r="N459" t="s">
        <v>1781</v>
      </c>
      <c r="O459" t="s">
        <v>28</v>
      </c>
      <c r="P459">
        <v>5.6</v>
      </c>
      <c r="Q459">
        <v>3.8</v>
      </c>
      <c r="R459">
        <v>6.7000000000000004E-2</v>
      </c>
      <c r="S459">
        <v>71</v>
      </c>
      <c r="T459" t="s">
        <v>29</v>
      </c>
      <c r="U459" t="s">
        <v>24</v>
      </c>
      <c r="V459" t="s">
        <v>24</v>
      </c>
    </row>
    <row r="460" spans="1:22" x14ac:dyDescent="0.25">
      <c r="A460" t="s">
        <v>1782</v>
      </c>
      <c r="B460">
        <v>-5.9923999999999999</v>
      </c>
      <c r="C460">
        <v>125.2662</v>
      </c>
      <c r="D460">
        <v>544.1</v>
      </c>
      <c r="E460">
        <v>4.9000000000000004</v>
      </c>
      <c r="F460" t="s">
        <v>23</v>
      </c>
      <c r="H460">
        <v>31</v>
      </c>
      <c r="I460">
        <v>3.867</v>
      </c>
      <c r="J460">
        <v>0.7</v>
      </c>
      <c r="K460" t="s">
        <v>24</v>
      </c>
      <c r="L460" t="s">
        <v>1783</v>
      </c>
      <c r="M460" t="s">
        <v>1784</v>
      </c>
      <c r="N460" t="s">
        <v>1785</v>
      </c>
      <c r="O460" t="s">
        <v>28</v>
      </c>
      <c r="P460">
        <v>8.9</v>
      </c>
      <c r="Q460">
        <v>7.1</v>
      </c>
      <c r="R460">
        <v>5.6000000000000001E-2</v>
      </c>
      <c r="S460">
        <v>100</v>
      </c>
      <c r="T460" t="s">
        <v>29</v>
      </c>
      <c r="U460" t="s">
        <v>24</v>
      </c>
      <c r="V460" t="s">
        <v>24</v>
      </c>
    </row>
    <row r="461" spans="1:22" x14ac:dyDescent="0.25">
      <c r="A461" t="s">
        <v>1786</v>
      </c>
      <c r="B461">
        <v>-7.2168000000000001</v>
      </c>
      <c r="C461">
        <v>123.0735</v>
      </c>
      <c r="D461">
        <v>553.80999999999995</v>
      </c>
      <c r="E461">
        <v>6.7</v>
      </c>
      <c r="F461" t="s">
        <v>1564</v>
      </c>
      <c r="H461">
        <v>16</v>
      </c>
      <c r="I461">
        <v>1.6339999999999999</v>
      </c>
      <c r="J461">
        <v>0.97</v>
      </c>
      <c r="K461" t="s">
        <v>24</v>
      </c>
      <c r="L461" t="s">
        <v>1787</v>
      </c>
      <c r="M461" t="s">
        <v>1788</v>
      </c>
      <c r="N461" t="s">
        <v>1789</v>
      </c>
      <c r="O461" t="s">
        <v>28</v>
      </c>
      <c r="P461">
        <v>8.6</v>
      </c>
      <c r="Q461">
        <v>3.1</v>
      </c>
      <c r="R461">
        <v>4.5999999999999999E-2</v>
      </c>
      <c r="S461">
        <v>46</v>
      </c>
      <c r="T461" t="s">
        <v>29</v>
      </c>
      <c r="U461" t="s">
        <v>24</v>
      </c>
      <c r="V461" t="s">
        <v>24</v>
      </c>
    </row>
    <row r="462" spans="1:22" x14ac:dyDescent="0.25">
      <c r="A462" t="s">
        <v>1790</v>
      </c>
      <c r="B462">
        <v>-7.1337000000000002</v>
      </c>
      <c r="C462">
        <v>124.63720000000001</v>
      </c>
      <c r="D462">
        <v>528.86</v>
      </c>
      <c r="E462">
        <v>4.5999999999999996</v>
      </c>
      <c r="F462" t="s">
        <v>23</v>
      </c>
      <c r="H462">
        <v>26</v>
      </c>
      <c r="I462">
        <v>2.63</v>
      </c>
      <c r="J462">
        <v>1.04</v>
      </c>
      <c r="K462" t="s">
        <v>24</v>
      </c>
      <c r="L462" t="s">
        <v>1791</v>
      </c>
      <c r="M462" t="s">
        <v>1792</v>
      </c>
      <c r="N462" t="s">
        <v>1671</v>
      </c>
      <c r="O462" t="s">
        <v>28</v>
      </c>
      <c r="P462">
        <v>7</v>
      </c>
      <c r="Q462">
        <v>6.1</v>
      </c>
      <c r="R462">
        <v>6.0999999999999999E-2</v>
      </c>
      <c r="S462">
        <v>80</v>
      </c>
      <c r="T462" t="s">
        <v>29</v>
      </c>
      <c r="U462" t="s">
        <v>24</v>
      </c>
      <c r="V462" t="s">
        <v>24</v>
      </c>
    </row>
    <row r="463" spans="1:22" x14ac:dyDescent="0.25">
      <c r="A463" t="s">
        <v>1793</v>
      </c>
      <c r="B463">
        <v>-6.3106999999999998</v>
      </c>
      <c r="C463">
        <v>123.6455</v>
      </c>
      <c r="D463">
        <v>652.53</v>
      </c>
      <c r="E463">
        <v>5.5</v>
      </c>
      <c r="F463" t="s">
        <v>1564</v>
      </c>
      <c r="H463">
        <v>38</v>
      </c>
      <c r="I463">
        <v>2.6989999999999998</v>
      </c>
      <c r="J463">
        <v>1.04</v>
      </c>
      <c r="K463" t="s">
        <v>24</v>
      </c>
      <c r="L463" t="s">
        <v>1794</v>
      </c>
      <c r="M463" t="s">
        <v>1795</v>
      </c>
      <c r="N463" t="s">
        <v>1796</v>
      </c>
      <c r="O463" t="s">
        <v>28</v>
      </c>
      <c r="P463">
        <v>8.6999999999999993</v>
      </c>
      <c r="Q463">
        <v>4.3</v>
      </c>
      <c r="R463">
        <v>6.6000000000000003E-2</v>
      </c>
      <c r="S463">
        <v>22</v>
      </c>
      <c r="T463" t="s">
        <v>29</v>
      </c>
      <c r="U463" t="s">
        <v>24</v>
      </c>
      <c r="V463" t="s">
        <v>24</v>
      </c>
    </row>
    <row r="464" spans="1:22" x14ac:dyDescent="0.25">
      <c r="A464" t="s">
        <v>1797</v>
      </c>
      <c r="B464">
        <v>-6.1421999999999999</v>
      </c>
      <c r="C464">
        <v>124.869</v>
      </c>
      <c r="D464">
        <v>601.58000000000004</v>
      </c>
      <c r="E464">
        <v>4.7</v>
      </c>
      <c r="F464" t="s">
        <v>23</v>
      </c>
      <c r="H464">
        <v>40</v>
      </c>
      <c r="I464">
        <v>3.5979999999999999</v>
      </c>
      <c r="J464">
        <v>0.76</v>
      </c>
      <c r="K464" t="s">
        <v>24</v>
      </c>
      <c r="L464" t="s">
        <v>1798</v>
      </c>
      <c r="M464" t="s">
        <v>1799</v>
      </c>
      <c r="N464" t="s">
        <v>1800</v>
      </c>
      <c r="O464" t="s">
        <v>28</v>
      </c>
      <c r="P464">
        <v>11.2</v>
      </c>
      <c r="Q464">
        <v>7.3</v>
      </c>
      <c r="R464">
        <v>7.8E-2</v>
      </c>
      <c r="S464">
        <v>50</v>
      </c>
      <c r="T464" t="s">
        <v>29</v>
      </c>
      <c r="U464" t="s">
        <v>24</v>
      </c>
      <c r="V464" t="s">
        <v>24</v>
      </c>
    </row>
    <row r="465" spans="1:22" x14ac:dyDescent="0.25">
      <c r="A465" t="s">
        <v>1801</v>
      </c>
      <c r="B465">
        <v>-7.0601000000000003</v>
      </c>
      <c r="C465">
        <v>123.2073</v>
      </c>
      <c r="D465">
        <v>631.32000000000005</v>
      </c>
      <c r="E465">
        <v>5.3</v>
      </c>
      <c r="F465" t="s">
        <v>1564</v>
      </c>
      <c r="H465">
        <v>43</v>
      </c>
      <c r="I465">
        <v>1.8360000000000001</v>
      </c>
      <c r="J465">
        <v>0.77</v>
      </c>
      <c r="K465" t="s">
        <v>24</v>
      </c>
      <c r="L465" t="s">
        <v>1802</v>
      </c>
      <c r="M465" t="s">
        <v>1803</v>
      </c>
      <c r="N465" t="s">
        <v>515</v>
      </c>
      <c r="O465" t="s">
        <v>28</v>
      </c>
      <c r="P465">
        <v>9</v>
      </c>
      <c r="Q465">
        <v>4.9000000000000004</v>
      </c>
      <c r="R465">
        <v>8.5999999999999993E-2</v>
      </c>
      <c r="S465">
        <v>13</v>
      </c>
      <c r="T465" t="s">
        <v>29</v>
      </c>
      <c r="U465" t="s">
        <v>24</v>
      </c>
      <c r="V465" t="s">
        <v>24</v>
      </c>
    </row>
    <row r="466" spans="1:22" x14ac:dyDescent="0.25">
      <c r="A466" t="s">
        <v>1804</v>
      </c>
      <c r="B466">
        <v>-7.1039000000000003</v>
      </c>
      <c r="C466">
        <v>122.72629999999999</v>
      </c>
      <c r="D466">
        <v>578.16</v>
      </c>
      <c r="E466">
        <v>6</v>
      </c>
      <c r="F466" t="s">
        <v>1564</v>
      </c>
      <c r="H466">
        <v>19</v>
      </c>
      <c r="I466">
        <v>1.597</v>
      </c>
      <c r="J466">
        <v>1.31</v>
      </c>
      <c r="K466" t="s">
        <v>24</v>
      </c>
      <c r="L466" t="s">
        <v>1805</v>
      </c>
      <c r="M466" t="s">
        <v>1806</v>
      </c>
      <c r="N466" t="s">
        <v>877</v>
      </c>
      <c r="O466" t="s">
        <v>28</v>
      </c>
      <c r="P466">
        <v>7.7</v>
      </c>
      <c r="Q466">
        <v>2.7</v>
      </c>
      <c r="R466">
        <v>3.9E-2</v>
      </c>
      <c r="S466">
        <v>63</v>
      </c>
      <c r="T466" t="s">
        <v>29</v>
      </c>
      <c r="U466" t="s">
        <v>24</v>
      </c>
      <c r="V466" t="s">
        <v>24</v>
      </c>
    </row>
    <row r="467" spans="1:22" x14ac:dyDescent="0.25">
      <c r="A467" t="s">
        <v>1807</v>
      </c>
      <c r="B467">
        <v>-7.4813000000000001</v>
      </c>
      <c r="C467">
        <v>122.6177</v>
      </c>
      <c r="D467">
        <v>533.16999999999996</v>
      </c>
      <c r="E467">
        <v>4.5</v>
      </c>
      <c r="F467" t="s">
        <v>23</v>
      </c>
      <c r="H467">
        <v>42</v>
      </c>
      <c r="I467">
        <v>1.2070000000000001</v>
      </c>
      <c r="J467">
        <v>1.25</v>
      </c>
      <c r="K467" t="s">
        <v>24</v>
      </c>
      <c r="L467" t="s">
        <v>1808</v>
      </c>
      <c r="M467" t="s">
        <v>1809</v>
      </c>
      <c r="N467" t="s">
        <v>1810</v>
      </c>
      <c r="O467" t="s">
        <v>28</v>
      </c>
      <c r="P467">
        <v>10.199999999999999</v>
      </c>
      <c r="Q467">
        <v>6.5</v>
      </c>
      <c r="R467">
        <v>8.1000000000000003E-2</v>
      </c>
      <c r="S467">
        <v>45</v>
      </c>
      <c r="T467" t="s">
        <v>29</v>
      </c>
      <c r="U467" t="s">
        <v>24</v>
      </c>
      <c r="V467" t="s">
        <v>24</v>
      </c>
    </row>
    <row r="468" spans="1:22" x14ac:dyDescent="0.25">
      <c r="A468" t="s">
        <v>1811</v>
      </c>
      <c r="B468">
        <v>-7.3718000000000004</v>
      </c>
      <c r="C468">
        <v>119.8017</v>
      </c>
      <c r="D468">
        <v>529</v>
      </c>
      <c r="E468">
        <v>6.5</v>
      </c>
      <c r="F468" t="s">
        <v>1564</v>
      </c>
      <c r="H468">
        <v>23</v>
      </c>
      <c r="I468">
        <v>2.7189999999999999</v>
      </c>
      <c r="J468">
        <v>0.98</v>
      </c>
      <c r="K468" t="s">
        <v>24</v>
      </c>
      <c r="L468" t="s">
        <v>1812</v>
      </c>
      <c r="M468" t="s">
        <v>1813</v>
      </c>
      <c r="N468" t="s">
        <v>1814</v>
      </c>
      <c r="O468" t="s">
        <v>28</v>
      </c>
      <c r="P468">
        <v>8.8000000000000007</v>
      </c>
      <c r="Q468">
        <v>1.9</v>
      </c>
      <c r="R468">
        <v>4.4999999999999998E-2</v>
      </c>
      <c r="S468">
        <v>48</v>
      </c>
      <c r="T468" t="s">
        <v>29</v>
      </c>
      <c r="U468" t="s">
        <v>24</v>
      </c>
      <c r="V468" t="s">
        <v>24</v>
      </c>
    </row>
    <row r="469" spans="1:22" x14ac:dyDescent="0.25">
      <c r="A469" t="s">
        <v>1815</v>
      </c>
      <c r="B469">
        <v>-6.66</v>
      </c>
      <c r="C469">
        <v>124.0645</v>
      </c>
      <c r="D469">
        <v>624.97</v>
      </c>
      <c r="E469">
        <v>4.5999999999999996</v>
      </c>
      <c r="F469" t="s">
        <v>23</v>
      </c>
      <c r="H469">
        <v>36</v>
      </c>
      <c r="I469">
        <v>2.67</v>
      </c>
      <c r="J469">
        <v>1.0900000000000001</v>
      </c>
      <c r="K469" t="s">
        <v>24</v>
      </c>
      <c r="L469" t="s">
        <v>1816</v>
      </c>
      <c r="M469" t="s">
        <v>1817</v>
      </c>
      <c r="N469" t="s">
        <v>1818</v>
      </c>
      <c r="O469" t="s">
        <v>28</v>
      </c>
      <c r="P469">
        <v>11.8</v>
      </c>
      <c r="Q469">
        <v>7.2</v>
      </c>
      <c r="R469">
        <v>0.1</v>
      </c>
      <c r="S469">
        <v>30</v>
      </c>
      <c r="T469" t="s">
        <v>29</v>
      </c>
      <c r="U469" t="s">
        <v>24</v>
      </c>
      <c r="V469" t="s">
        <v>24</v>
      </c>
    </row>
    <row r="470" spans="1:22" x14ac:dyDescent="0.25">
      <c r="A470" t="s">
        <v>1819</v>
      </c>
      <c r="B470">
        <v>-7.2266000000000004</v>
      </c>
      <c r="C470">
        <v>123.8571</v>
      </c>
      <c r="D470">
        <v>485.41</v>
      </c>
      <c r="E470">
        <v>4.7</v>
      </c>
      <c r="F470" t="s">
        <v>23</v>
      </c>
      <c r="H470">
        <v>30</v>
      </c>
      <c r="I470">
        <v>2.129</v>
      </c>
      <c r="J470">
        <v>0.91</v>
      </c>
      <c r="K470" t="s">
        <v>24</v>
      </c>
      <c r="L470" t="s">
        <v>1820</v>
      </c>
      <c r="M470" t="s">
        <v>1821</v>
      </c>
      <c r="N470" t="s">
        <v>1822</v>
      </c>
      <c r="O470" t="s">
        <v>28</v>
      </c>
      <c r="P470">
        <v>7.7</v>
      </c>
      <c r="Q470">
        <v>6.3</v>
      </c>
      <c r="R470">
        <v>6.0999999999999999E-2</v>
      </c>
      <c r="S470">
        <v>80</v>
      </c>
      <c r="T470" t="s">
        <v>29</v>
      </c>
      <c r="U470" t="s">
        <v>24</v>
      </c>
      <c r="V470" t="s">
        <v>24</v>
      </c>
    </row>
    <row r="471" spans="1:22" x14ac:dyDescent="0.25">
      <c r="A471" t="s">
        <v>1823</v>
      </c>
      <c r="B471">
        <v>-7.4913999999999996</v>
      </c>
      <c r="C471">
        <v>120.009</v>
      </c>
      <c r="D471">
        <v>420.34</v>
      </c>
      <c r="E471">
        <v>4.7</v>
      </c>
      <c r="F471" t="s">
        <v>23</v>
      </c>
      <c r="H471">
        <v>37</v>
      </c>
      <c r="I471">
        <v>2.4740000000000002</v>
      </c>
      <c r="J471">
        <v>0.78</v>
      </c>
      <c r="K471" t="s">
        <v>24</v>
      </c>
      <c r="L471" t="s">
        <v>1824</v>
      </c>
      <c r="M471" t="s">
        <v>1825</v>
      </c>
      <c r="N471" t="s">
        <v>1826</v>
      </c>
      <c r="O471" t="s">
        <v>28</v>
      </c>
      <c r="P471">
        <v>9.9</v>
      </c>
      <c r="Q471">
        <v>6.5</v>
      </c>
      <c r="R471">
        <v>0.06</v>
      </c>
      <c r="S471">
        <v>85</v>
      </c>
      <c r="T471" t="s">
        <v>29</v>
      </c>
      <c r="U471" t="s">
        <v>24</v>
      </c>
      <c r="V471" t="s">
        <v>24</v>
      </c>
    </row>
    <row r="472" spans="1:22" x14ac:dyDescent="0.25">
      <c r="A472" t="s">
        <v>1827</v>
      </c>
      <c r="B472">
        <v>-7.2638999999999996</v>
      </c>
      <c r="C472">
        <v>122.9877</v>
      </c>
      <c r="D472">
        <v>570.69000000000005</v>
      </c>
      <c r="E472">
        <v>4.5</v>
      </c>
      <c r="F472" t="s">
        <v>23</v>
      </c>
      <c r="H472">
        <v>57</v>
      </c>
      <c r="I472">
        <v>1.552</v>
      </c>
      <c r="J472">
        <v>0.74</v>
      </c>
      <c r="K472" t="s">
        <v>24</v>
      </c>
      <c r="L472" t="s">
        <v>1828</v>
      </c>
      <c r="M472" t="s">
        <v>1829</v>
      </c>
      <c r="N472" t="s">
        <v>920</v>
      </c>
      <c r="O472" t="s">
        <v>28</v>
      </c>
      <c r="P472">
        <v>12.3</v>
      </c>
      <c r="Q472">
        <v>8.5</v>
      </c>
      <c r="R472">
        <v>8.1000000000000003E-2</v>
      </c>
      <c r="S472">
        <v>44</v>
      </c>
      <c r="T472" t="s">
        <v>29</v>
      </c>
      <c r="U472" t="s">
        <v>24</v>
      </c>
      <c r="V472" t="s">
        <v>24</v>
      </c>
    </row>
    <row r="473" spans="1:22" x14ac:dyDescent="0.25">
      <c r="A473" t="s">
        <v>1830</v>
      </c>
      <c r="B473">
        <v>-7.2488000000000001</v>
      </c>
      <c r="C473">
        <v>120.3038</v>
      </c>
      <c r="D473">
        <v>558.63</v>
      </c>
      <c r="E473">
        <v>4.5999999999999996</v>
      </c>
      <c r="F473" t="s">
        <v>23</v>
      </c>
      <c r="H473">
        <v>43</v>
      </c>
      <c r="I473">
        <v>2.286</v>
      </c>
      <c r="J473">
        <v>0.76</v>
      </c>
      <c r="K473" t="s">
        <v>24</v>
      </c>
      <c r="L473" t="s">
        <v>1831</v>
      </c>
      <c r="M473" t="s">
        <v>1832</v>
      </c>
      <c r="N473" t="s">
        <v>1833</v>
      </c>
      <c r="O473" t="s">
        <v>28</v>
      </c>
      <c r="P473">
        <v>10.6</v>
      </c>
      <c r="Q473">
        <v>9</v>
      </c>
      <c r="R473">
        <v>7.1999999999999995E-2</v>
      </c>
      <c r="S473">
        <v>57</v>
      </c>
      <c r="T473" t="s">
        <v>29</v>
      </c>
      <c r="U473" t="s">
        <v>24</v>
      </c>
      <c r="V473" t="s">
        <v>24</v>
      </c>
    </row>
    <row r="474" spans="1:22" x14ac:dyDescent="0.25">
      <c r="A474" t="s">
        <v>1834</v>
      </c>
      <c r="B474">
        <v>-7.0879000000000003</v>
      </c>
      <c r="C474">
        <v>125.1151</v>
      </c>
      <c r="D474">
        <v>514.67999999999995</v>
      </c>
      <c r="E474">
        <v>4.5</v>
      </c>
      <c r="F474" t="s">
        <v>23</v>
      </c>
      <c r="H474">
        <v>43</v>
      </c>
      <c r="I474">
        <v>2.7789999999999999</v>
      </c>
      <c r="J474">
        <v>0.79</v>
      </c>
      <c r="K474" t="s">
        <v>24</v>
      </c>
      <c r="L474" t="s">
        <v>1835</v>
      </c>
      <c r="M474" t="s">
        <v>1836</v>
      </c>
      <c r="N474" t="s">
        <v>1837</v>
      </c>
      <c r="O474" t="s">
        <v>28</v>
      </c>
      <c r="P474">
        <v>10.199999999999999</v>
      </c>
      <c r="Q474">
        <v>9.8000000000000007</v>
      </c>
      <c r="R474">
        <v>8.8999999999999996E-2</v>
      </c>
      <c r="S474">
        <v>37</v>
      </c>
      <c r="T474" t="s">
        <v>29</v>
      </c>
      <c r="U474" t="s">
        <v>24</v>
      </c>
      <c r="V474" t="s">
        <v>24</v>
      </c>
    </row>
    <row r="475" spans="1:22" x14ac:dyDescent="0.25">
      <c r="A475" t="s">
        <v>1838</v>
      </c>
      <c r="B475">
        <v>-6.8285</v>
      </c>
      <c r="C475">
        <v>125.0416</v>
      </c>
      <c r="D475">
        <v>539</v>
      </c>
      <c r="E475">
        <v>6.3</v>
      </c>
      <c r="F475" t="s">
        <v>1564</v>
      </c>
      <c r="H475">
        <v>20</v>
      </c>
      <c r="I475">
        <v>3.0070000000000001</v>
      </c>
      <c r="J475">
        <v>0.93</v>
      </c>
      <c r="K475" t="s">
        <v>24</v>
      </c>
      <c r="L475" t="s">
        <v>1839</v>
      </c>
      <c r="M475" t="s">
        <v>1840</v>
      </c>
      <c r="N475" t="s">
        <v>1485</v>
      </c>
      <c r="O475" t="s">
        <v>28</v>
      </c>
      <c r="P475">
        <v>8.8000000000000007</v>
      </c>
      <c r="Q475">
        <v>1.9</v>
      </c>
      <c r="R475">
        <v>3.4000000000000002E-2</v>
      </c>
      <c r="S475">
        <v>84</v>
      </c>
      <c r="T475" t="s">
        <v>29</v>
      </c>
      <c r="U475" t="s">
        <v>24</v>
      </c>
      <c r="V475" t="s">
        <v>24</v>
      </c>
    </row>
    <row r="476" spans="1:22" x14ac:dyDescent="0.25">
      <c r="A476" t="s">
        <v>1841</v>
      </c>
      <c r="B476">
        <v>-6.8144999999999998</v>
      </c>
      <c r="C476">
        <v>124.9983</v>
      </c>
      <c r="D476">
        <v>548.99</v>
      </c>
      <c r="E476">
        <v>4.8</v>
      </c>
      <c r="F476" t="s">
        <v>23</v>
      </c>
      <c r="H476">
        <v>40</v>
      </c>
      <c r="I476">
        <v>3.01</v>
      </c>
      <c r="J476">
        <v>0.55000000000000004</v>
      </c>
      <c r="K476" t="s">
        <v>24</v>
      </c>
      <c r="L476" t="s">
        <v>1842</v>
      </c>
      <c r="M476" t="s">
        <v>1843</v>
      </c>
      <c r="N476" t="s">
        <v>1844</v>
      </c>
      <c r="O476" t="s">
        <v>28</v>
      </c>
      <c r="P476">
        <v>9.9</v>
      </c>
      <c r="Q476">
        <v>7.4</v>
      </c>
      <c r="R476">
        <v>5.6000000000000001E-2</v>
      </c>
      <c r="S476">
        <v>97</v>
      </c>
      <c r="T476" t="s">
        <v>29</v>
      </c>
      <c r="U476" t="s">
        <v>24</v>
      </c>
      <c r="V476" t="s">
        <v>24</v>
      </c>
    </row>
    <row r="477" spans="1:22" x14ac:dyDescent="0.25">
      <c r="A477" t="s">
        <v>1845</v>
      </c>
      <c r="B477">
        <v>-7.3303000000000003</v>
      </c>
      <c r="C477">
        <v>123.9333</v>
      </c>
      <c r="D477">
        <v>557.66</v>
      </c>
      <c r="E477">
        <v>4.5999999999999996</v>
      </c>
      <c r="F477" t="s">
        <v>23</v>
      </c>
      <c r="H477">
        <v>22</v>
      </c>
      <c r="I477">
        <v>2.1219999999999999</v>
      </c>
      <c r="J477">
        <v>0.81</v>
      </c>
      <c r="K477" t="s">
        <v>24</v>
      </c>
      <c r="L477" t="s">
        <v>1846</v>
      </c>
      <c r="M477" t="s">
        <v>1847</v>
      </c>
      <c r="N477" t="s">
        <v>1026</v>
      </c>
      <c r="O477" t="s">
        <v>28</v>
      </c>
      <c r="P477">
        <v>9.6</v>
      </c>
      <c r="Q477">
        <v>6.3</v>
      </c>
      <c r="R477">
        <v>4.5999999999999999E-2</v>
      </c>
      <c r="S477">
        <v>140</v>
      </c>
      <c r="T477" t="s">
        <v>29</v>
      </c>
      <c r="U477" t="s">
        <v>24</v>
      </c>
      <c r="V477" t="s">
        <v>24</v>
      </c>
    </row>
    <row r="478" spans="1:22" x14ac:dyDescent="0.25">
      <c r="A478" t="s">
        <v>1848</v>
      </c>
      <c r="B478">
        <v>-7.4249999999999998</v>
      </c>
      <c r="C478">
        <v>121.1315</v>
      </c>
      <c r="D478">
        <v>538.76</v>
      </c>
      <c r="E478">
        <v>4.5</v>
      </c>
      <c r="F478" t="s">
        <v>23</v>
      </c>
      <c r="H478">
        <v>78</v>
      </c>
      <c r="I478">
        <v>1.627</v>
      </c>
      <c r="J478">
        <v>0.8</v>
      </c>
      <c r="K478" t="s">
        <v>24</v>
      </c>
      <c r="L478" t="s">
        <v>1849</v>
      </c>
      <c r="M478" t="s">
        <v>1850</v>
      </c>
      <c r="N478" t="s">
        <v>1851</v>
      </c>
      <c r="O478" t="s">
        <v>28</v>
      </c>
      <c r="P478">
        <v>7.4</v>
      </c>
      <c r="Q478">
        <v>8.4</v>
      </c>
      <c r="R478">
        <v>0.222</v>
      </c>
      <c r="S478">
        <v>6</v>
      </c>
      <c r="T478" t="s">
        <v>29</v>
      </c>
      <c r="U478" t="s">
        <v>24</v>
      </c>
      <c r="V478" t="s">
        <v>24</v>
      </c>
    </row>
    <row r="479" spans="1:22" x14ac:dyDescent="0.25">
      <c r="A479" t="s">
        <v>1852</v>
      </c>
      <c r="B479">
        <v>-6.0780000000000003</v>
      </c>
      <c r="C479">
        <v>122.4128</v>
      </c>
      <c r="D479">
        <v>10</v>
      </c>
      <c r="E479">
        <v>4.9000000000000004</v>
      </c>
      <c r="F479" t="s">
        <v>23</v>
      </c>
      <c r="H479">
        <v>59</v>
      </c>
      <c r="I479">
        <v>2.5470000000000002</v>
      </c>
      <c r="J479">
        <v>0.86</v>
      </c>
      <c r="K479" t="s">
        <v>24</v>
      </c>
      <c r="L479" t="s">
        <v>1853</v>
      </c>
      <c r="M479" t="s">
        <v>1854</v>
      </c>
      <c r="N479" t="s">
        <v>1855</v>
      </c>
      <c r="O479" t="s">
        <v>28</v>
      </c>
      <c r="P479">
        <v>5.4</v>
      </c>
      <c r="Q479">
        <v>1.7</v>
      </c>
      <c r="R479">
        <v>0.08</v>
      </c>
      <c r="S479">
        <v>49</v>
      </c>
      <c r="T479" t="s">
        <v>29</v>
      </c>
      <c r="U479" t="s">
        <v>24</v>
      </c>
      <c r="V479" t="s">
        <v>24</v>
      </c>
    </row>
    <row r="480" spans="1:22" x14ac:dyDescent="0.25">
      <c r="A480" t="s">
        <v>1856</v>
      </c>
      <c r="B480">
        <v>-6.2744999999999997</v>
      </c>
      <c r="C480">
        <v>125.1305</v>
      </c>
      <c r="D480">
        <v>551.82000000000005</v>
      </c>
      <c r="E480">
        <v>4.5999999999999996</v>
      </c>
      <c r="F480" t="s">
        <v>23</v>
      </c>
      <c r="H480">
        <v>62</v>
      </c>
      <c r="I480">
        <v>3.5619999999999998</v>
      </c>
      <c r="J480">
        <v>0.68</v>
      </c>
      <c r="K480" t="s">
        <v>24</v>
      </c>
      <c r="L480" t="s">
        <v>1857</v>
      </c>
      <c r="M480" t="s">
        <v>1858</v>
      </c>
      <c r="N480" t="s">
        <v>1859</v>
      </c>
      <c r="O480" t="s">
        <v>28</v>
      </c>
      <c r="P480">
        <v>5</v>
      </c>
      <c r="Q480">
        <v>11.4</v>
      </c>
      <c r="R480">
        <v>8.4000000000000005E-2</v>
      </c>
      <c r="S480">
        <v>42</v>
      </c>
      <c r="T480" t="s">
        <v>29</v>
      </c>
      <c r="U480" t="s">
        <v>24</v>
      </c>
      <c r="V480" t="s">
        <v>24</v>
      </c>
    </row>
    <row r="481" spans="1:22" x14ac:dyDescent="0.25">
      <c r="A481" t="s">
        <v>1860</v>
      </c>
      <c r="B481">
        <v>-7.2793999999999999</v>
      </c>
      <c r="C481">
        <v>123.19410000000001</v>
      </c>
      <c r="D481">
        <v>544.66</v>
      </c>
      <c r="E481">
        <v>4.7</v>
      </c>
      <c r="F481" t="s">
        <v>23</v>
      </c>
      <c r="H481">
        <v>26</v>
      </c>
      <c r="I481">
        <v>1.647</v>
      </c>
      <c r="J481">
        <v>0.78</v>
      </c>
      <c r="K481" t="s">
        <v>24</v>
      </c>
      <c r="L481" t="s">
        <v>1861</v>
      </c>
      <c r="M481" t="s">
        <v>1862</v>
      </c>
      <c r="N481" t="s">
        <v>1387</v>
      </c>
      <c r="O481" t="s">
        <v>28</v>
      </c>
      <c r="P481">
        <v>9.6</v>
      </c>
      <c r="Q481">
        <v>5.7</v>
      </c>
      <c r="R481">
        <v>5.7000000000000002E-2</v>
      </c>
      <c r="S481">
        <v>94</v>
      </c>
      <c r="T481" t="s">
        <v>29</v>
      </c>
      <c r="U481" t="s">
        <v>24</v>
      </c>
      <c r="V481" t="s">
        <v>24</v>
      </c>
    </row>
    <row r="482" spans="1:22" x14ac:dyDescent="0.25">
      <c r="A482" t="s">
        <v>1863</v>
      </c>
      <c r="B482">
        <v>-7.4558</v>
      </c>
      <c r="C482">
        <v>121.054</v>
      </c>
      <c r="D482">
        <v>578.11</v>
      </c>
      <c r="E482">
        <v>4.9000000000000004</v>
      </c>
      <c r="F482" t="s">
        <v>23</v>
      </c>
      <c r="H482">
        <v>52</v>
      </c>
      <c r="I482">
        <v>1.657</v>
      </c>
      <c r="J482">
        <v>0.92</v>
      </c>
      <c r="K482" t="s">
        <v>24</v>
      </c>
      <c r="L482" t="s">
        <v>1864</v>
      </c>
      <c r="M482" t="s">
        <v>1865</v>
      </c>
      <c r="N482" t="s">
        <v>1866</v>
      </c>
      <c r="O482" t="s">
        <v>28</v>
      </c>
      <c r="P482">
        <v>10.1</v>
      </c>
      <c r="Q482">
        <v>6.2</v>
      </c>
      <c r="R482">
        <v>5.8999999999999997E-2</v>
      </c>
      <c r="S482">
        <v>92</v>
      </c>
      <c r="T482" t="s">
        <v>29</v>
      </c>
      <c r="U482" t="s">
        <v>24</v>
      </c>
      <c r="V482" t="s">
        <v>24</v>
      </c>
    </row>
    <row r="483" spans="1:22" x14ac:dyDescent="0.25">
      <c r="A483" t="s">
        <v>1867</v>
      </c>
      <c r="B483">
        <v>-4.5942999999999996</v>
      </c>
      <c r="C483">
        <v>123.91540000000001</v>
      </c>
      <c r="D483">
        <v>20</v>
      </c>
      <c r="E483">
        <v>4.8</v>
      </c>
      <c r="F483" t="s">
        <v>23</v>
      </c>
      <c r="H483">
        <v>57</v>
      </c>
      <c r="I483">
        <v>3.7090000000000001</v>
      </c>
      <c r="J483">
        <v>0.37</v>
      </c>
      <c r="K483" t="s">
        <v>24</v>
      </c>
      <c r="L483" t="s">
        <v>1868</v>
      </c>
      <c r="M483" t="s">
        <v>1869</v>
      </c>
      <c r="N483" t="s">
        <v>1870</v>
      </c>
      <c r="O483" t="s">
        <v>28</v>
      </c>
      <c r="P483">
        <v>5.8</v>
      </c>
      <c r="Q483">
        <v>5.2</v>
      </c>
      <c r="R483">
        <v>0.107</v>
      </c>
      <c r="S483">
        <v>31</v>
      </c>
      <c r="T483" t="s">
        <v>29</v>
      </c>
      <c r="U483" t="s">
        <v>24</v>
      </c>
      <c r="V483" t="s">
        <v>24</v>
      </c>
    </row>
    <row r="484" spans="1:22" x14ac:dyDescent="0.25">
      <c r="A484" t="s">
        <v>1871</v>
      </c>
      <c r="B484">
        <v>-7.1115000000000004</v>
      </c>
      <c r="C484">
        <v>125.10509999999999</v>
      </c>
      <c r="D484">
        <v>558.37</v>
      </c>
      <c r="E484">
        <v>4.5999999999999996</v>
      </c>
      <c r="F484" t="s">
        <v>23</v>
      </c>
      <c r="H484">
        <v>78</v>
      </c>
      <c r="I484">
        <v>2.754</v>
      </c>
      <c r="J484">
        <v>0.88</v>
      </c>
      <c r="K484" t="s">
        <v>24</v>
      </c>
      <c r="L484" t="s">
        <v>1872</v>
      </c>
      <c r="M484" t="s">
        <v>1873</v>
      </c>
      <c r="N484" t="s">
        <v>732</v>
      </c>
      <c r="O484" t="s">
        <v>28</v>
      </c>
      <c r="P484">
        <v>8.5</v>
      </c>
      <c r="Q484">
        <v>8.9</v>
      </c>
      <c r="R484">
        <v>0.10199999999999999</v>
      </c>
      <c r="S484">
        <v>29</v>
      </c>
      <c r="T484" t="s">
        <v>29</v>
      </c>
      <c r="U484" t="s">
        <v>24</v>
      </c>
      <c r="V484" t="s">
        <v>24</v>
      </c>
    </row>
    <row r="485" spans="1:22" x14ac:dyDescent="0.25">
      <c r="A485" t="s">
        <v>1874</v>
      </c>
      <c r="B485">
        <v>-7.3654999999999999</v>
      </c>
      <c r="C485">
        <v>119.97110000000001</v>
      </c>
      <c r="D485">
        <v>407.07</v>
      </c>
      <c r="E485">
        <v>4.5999999999999996</v>
      </c>
      <c r="F485" t="s">
        <v>23</v>
      </c>
      <c r="H485">
        <v>54</v>
      </c>
      <c r="I485">
        <v>2.3460000000000001</v>
      </c>
      <c r="J485">
        <v>1.02</v>
      </c>
      <c r="K485" t="s">
        <v>24</v>
      </c>
      <c r="L485" t="s">
        <v>1875</v>
      </c>
      <c r="M485" t="s">
        <v>1876</v>
      </c>
      <c r="N485" t="s">
        <v>1877</v>
      </c>
      <c r="O485" t="s">
        <v>28</v>
      </c>
      <c r="P485">
        <v>6.9</v>
      </c>
      <c r="Q485">
        <v>4.4000000000000004</v>
      </c>
      <c r="R485">
        <v>6.0999999999999999E-2</v>
      </c>
      <c r="S485">
        <v>79</v>
      </c>
      <c r="T485" t="s">
        <v>29</v>
      </c>
      <c r="U485" t="s">
        <v>24</v>
      </c>
      <c r="V485" t="s">
        <v>24</v>
      </c>
    </row>
    <row r="486" spans="1:22" x14ac:dyDescent="0.25">
      <c r="A486" t="s">
        <v>1878</v>
      </c>
      <c r="B486">
        <v>-7.5536000000000003</v>
      </c>
      <c r="C486">
        <v>124.9357</v>
      </c>
      <c r="D486">
        <v>353.72</v>
      </c>
      <c r="E486">
        <v>4.8</v>
      </c>
      <c r="F486" t="s">
        <v>23</v>
      </c>
      <c r="H486">
        <v>35</v>
      </c>
      <c r="I486">
        <v>2.2850000000000001</v>
      </c>
      <c r="J486">
        <v>0.97</v>
      </c>
      <c r="K486" t="s">
        <v>24</v>
      </c>
      <c r="L486" t="s">
        <v>1879</v>
      </c>
      <c r="M486" t="s">
        <v>1880</v>
      </c>
      <c r="N486" t="s">
        <v>1881</v>
      </c>
      <c r="O486" t="s">
        <v>28</v>
      </c>
      <c r="P486">
        <v>6.4</v>
      </c>
      <c r="Q486">
        <v>5.4</v>
      </c>
      <c r="R486">
        <v>7.5999999999999998E-2</v>
      </c>
      <c r="S486">
        <v>54</v>
      </c>
      <c r="T486" t="s">
        <v>29</v>
      </c>
      <c r="U486" t="s">
        <v>24</v>
      </c>
      <c r="V486" t="s">
        <v>24</v>
      </c>
    </row>
    <row r="487" spans="1:22" x14ac:dyDescent="0.25">
      <c r="A487" t="s">
        <v>1882</v>
      </c>
      <c r="B487">
        <v>-5.7526999999999999</v>
      </c>
      <c r="C487">
        <v>124.976</v>
      </c>
      <c r="D487">
        <v>10</v>
      </c>
      <c r="E487">
        <v>5.6</v>
      </c>
      <c r="F487" t="s">
        <v>1564</v>
      </c>
      <c r="H487">
        <v>23</v>
      </c>
      <c r="I487">
        <v>3.9470000000000001</v>
      </c>
      <c r="J487">
        <v>0.97</v>
      </c>
      <c r="K487" t="s">
        <v>24</v>
      </c>
      <c r="L487" t="s">
        <v>1883</v>
      </c>
      <c r="M487" t="s">
        <v>1884</v>
      </c>
      <c r="N487" t="s">
        <v>1885</v>
      </c>
      <c r="O487" t="s">
        <v>28</v>
      </c>
      <c r="P487">
        <v>5.9</v>
      </c>
      <c r="Q487">
        <v>1.7</v>
      </c>
      <c r="R487">
        <v>5.3999999999999999E-2</v>
      </c>
      <c r="S487">
        <v>33</v>
      </c>
      <c r="T487" t="s">
        <v>29</v>
      </c>
      <c r="U487" t="s">
        <v>24</v>
      </c>
      <c r="V487" t="s">
        <v>24</v>
      </c>
    </row>
    <row r="488" spans="1:22" x14ac:dyDescent="0.25">
      <c r="A488" t="s">
        <v>1886</v>
      </c>
      <c r="B488">
        <v>-7.2416999999999998</v>
      </c>
      <c r="C488">
        <v>122.455</v>
      </c>
      <c r="D488">
        <v>530.32000000000005</v>
      </c>
      <c r="E488">
        <v>4.5</v>
      </c>
      <c r="F488" t="s">
        <v>23</v>
      </c>
      <c r="H488">
        <v>66</v>
      </c>
      <c r="I488">
        <v>1.401</v>
      </c>
      <c r="J488">
        <v>0.84</v>
      </c>
      <c r="K488" t="s">
        <v>24</v>
      </c>
      <c r="L488" t="s">
        <v>1887</v>
      </c>
      <c r="M488" t="s">
        <v>1888</v>
      </c>
      <c r="N488" t="s">
        <v>209</v>
      </c>
      <c r="O488" t="s">
        <v>28</v>
      </c>
      <c r="P488">
        <v>7.9</v>
      </c>
      <c r="Q488">
        <v>12.2</v>
      </c>
      <c r="R488">
        <v>0.156</v>
      </c>
      <c r="S488">
        <v>12</v>
      </c>
      <c r="T488" t="s">
        <v>29</v>
      </c>
      <c r="U488" t="s">
        <v>24</v>
      </c>
      <c r="V488" t="s">
        <v>24</v>
      </c>
    </row>
    <row r="489" spans="1:22" x14ac:dyDescent="0.25">
      <c r="A489" t="s">
        <v>1889</v>
      </c>
      <c r="B489">
        <v>-7.1369999999999996</v>
      </c>
      <c r="C489">
        <v>124.0206</v>
      </c>
      <c r="D489">
        <v>590.04999999999995</v>
      </c>
      <c r="E489">
        <v>5.3</v>
      </c>
      <c r="F489" t="s">
        <v>1564</v>
      </c>
      <c r="H489">
        <v>19</v>
      </c>
      <c r="I489">
        <v>2.31</v>
      </c>
      <c r="J489">
        <v>0.76</v>
      </c>
      <c r="K489" t="s">
        <v>24</v>
      </c>
      <c r="L489" t="s">
        <v>1890</v>
      </c>
      <c r="M489" t="s">
        <v>1891</v>
      </c>
      <c r="N489" t="s">
        <v>1220</v>
      </c>
      <c r="O489" t="s">
        <v>28</v>
      </c>
      <c r="P489">
        <v>9</v>
      </c>
      <c r="Q489">
        <v>4.9000000000000004</v>
      </c>
      <c r="R489">
        <v>9.2999999999999999E-2</v>
      </c>
      <c r="S489">
        <v>11</v>
      </c>
      <c r="T489" t="s">
        <v>29</v>
      </c>
      <c r="U489" t="s">
        <v>24</v>
      </c>
      <c r="V489" t="s">
        <v>24</v>
      </c>
    </row>
    <row r="490" spans="1:22" x14ac:dyDescent="0.25">
      <c r="A490" t="s">
        <v>1892</v>
      </c>
      <c r="B490">
        <v>-7.0110000000000001</v>
      </c>
      <c r="C490">
        <v>124.97280000000001</v>
      </c>
      <c r="D490">
        <v>509.36</v>
      </c>
      <c r="E490">
        <v>4.7</v>
      </c>
      <c r="F490" t="s">
        <v>23</v>
      </c>
      <c r="H490">
        <v>27</v>
      </c>
      <c r="I490">
        <v>2.8140000000000001</v>
      </c>
      <c r="J490">
        <v>0.68</v>
      </c>
      <c r="K490" t="s">
        <v>24</v>
      </c>
      <c r="L490" t="s">
        <v>1893</v>
      </c>
      <c r="M490" t="s">
        <v>1894</v>
      </c>
      <c r="N490" t="s">
        <v>1895</v>
      </c>
      <c r="O490" t="s">
        <v>28</v>
      </c>
      <c r="P490">
        <v>10.6</v>
      </c>
      <c r="Q490">
        <v>7.1</v>
      </c>
      <c r="R490">
        <v>5.3999999999999999E-2</v>
      </c>
      <c r="S490">
        <v>106</v>
      </c>
      <c r="T490" t="s">
        <v>29</v>
      </c>
      <c r="U490" t="s">
        <v>24</v>
      </c>
      <c r="V490" t="s">
        <v>24</v>
      </c>
    </row>
    <row r="491" spans="1:22" x14ac:dyDescent="0.25">
      <c r="A491" t="s">
        <v>1896</v>
      </c>
      <c r="B491">
        <v>-7.2022000000000004</v>
      </c>
      <c r="C491">
        <v>120.4556</v>
      </c>
      <c r="D491">
        <v>584.48</v>
      </c>
      <c r="E491">
        <v>5.7</v>
      </c>
      <c r="F491" t="s">
        <v>1564</v>
      </c>
      <c r="H491">
        <v>34</v>
      </c>
      <c r="I491">
        <v>2.2679999999999998</v>
      </c>
      <c r="J491">
        <v>1.01</v>
      </c>
      <c r="K491" t="s">
        <v>24</v>
      </c>
      <c r="L491" t="s">
        <v>1897</v>
      </c>
      <c r="M491" t="s">
        <v>1898</v>
      </c>
      <c r="N491" t="s">
        <v>1899</v>
      </c>
      <c r="O491" t="s">
        <v>28</v>
      </c>
      <c r="P491">
        <v>9.4</v>
      </c>
      <c r="Q491">
        <v>5.7</v>
      </c>
      <c r="R491">
        <v>4.9000000000000002E-2</v>
      </c>
      <c r="S491">
        <v>40</v>
      </c>
      <c r="T491" t="s">
        <v>29</v>
      </c>
      <c r="U491" t="s">
        <v>24</v>
      </c>
      <c r="V491" t="s">
        <v>24</v>
      </c>
    </row>
    <row r="492" spans="1:22" x14ac:dyDescent="0.25">
      <c r="A492" t="s">
        <v>1900</v>
      </c>
      <c r="B492">
        <v>-4.7150999999999996</v>
      </c>
      <c r="C492">
        <v>122.8717</v>
      </c>
      <c r="D492">
        <v>24.87</v>
      </c>
      <c r="E492">
        <v>4.5</v>
      </c>
      <c r="F492" t="s">
        <v>23</v>
      </c>
      <c r="H492">
        <v>70</v>
      </c>
      <c r="I492">
        <v>3.1230000000000002</v>
      </c>
      <c r="J492">
        <v>0.66</v>
      </c>
      <c r="K492" t="s">
        <v>24</v>
      </c>
      <c r="L492" t="s">
        <v>1901</v>
      </c>
      <c r="M492" t="s">
        <v>1902</v>
      </c>
      <c r="N492" t="s">
        <v>1903</v>
      </c>
      <c r="O492" t="s">
        <v>28</v>
      </c>
      <c r="P492">
        <v>6.5</v>
      </c>
      <c r="Q492">
        <v>5.7</v>
      </c>
      <c r="R492">
        <v>9.4E-2</v>
      </c>
      <c r="S492">
        <v>37</v>
      </c>
      <c r="T492" t="s">
        <v>29</v>
      </c>
      <c r="U492" t="s">
        <v>24</v>
      </c>
      <c r="V492" t="s">
        <v>24</v>
      </c>
    </row>
    <row r="493" spans="1:22" x14ac:dyDescent="0.25">
      <c r="A493" t="s">
        <v>1904</v>
      </c>
      <c r="B493">
        <v>-6.71</v>
      </c>
      <c r="C493">
        <v>123.4649</v>
      </c>
      <c r="D493">
        <v>624</v>
      </c>
      <c r="E493">
        <v>6.9</v>
      </c>
      <c r="F493" t="s">
        <v>1564</v>
      </c>
      <c r="H493">
        <v>20</v>
      </c>
      <c r="I493">
        <v>2.2669999999999999</v>
      </c>
      <c r="J493">
        <v>1.31</v>
      </c>
      <c r="K493" t="s">
        <v>24</v>
      </c>
      <c r="L493" t="s">
        <v>1905</v>
      </c>
      <c r="M493" t="s">
        <v>1906</v>
      </c>
      <c r="N493" t="s">
        <v>1907</v>
      </c>
      <c r="O493" t="s">
        <v>28</v>
      </c>
      <c r="P493">
        <v>8.8000000000000007</v>
      </c>
      <c r="Q493">
        <v>1.9</v>
      </c>
      <c r="R493">
        <v>5.1999999999999998E-2</v>
      </c>
      <c r="S493">
        <v>36</v>
      </c>
      <c r="T493" t="s">
        <v>29</v>
      </c>
      <c r="U493" t="s">
        <v>24</v>
      </c>
      <c r="V493" t="s">
        <v>24</v>
      </c>
    </row>
    <row r="494" spans="1:22" x14ac:dyDescent="0.25">
      <c r="A494" t="s">
        <v>1908</v>
      </c>
      <c r="B494">
        <v>-6.8724999999999996</v>
      </c>
      <c r="C494">
        <v>123.483</v>
      </c>
      <c r="D494">
        <v>632.85</v>
      </c>
      <c r="E494">
        <v>4.9000000000000004</v>
      </c>
      <c r="F494" t="s">
        <v>23</v>
      </c>
      <c r="H494">
        <v>29</v>
      </c>
      <c r="I494">
        <v>2.1419999999999999</v>
      </c>
      <c r="J494">
        <v>1.03</v>
      </c>
      <c r="K494" t="s">
        <v>24</v>
      </c>
      <c r="L494" t="s">
        <v>1909</v>
      </c>
      <c r="M494" t="s">
        <v>1910</v>
      </c>
      <c r="N494" t="s">
        <v>1911</v>
      </c>
      <c r="O494" t="s">
        <v>28</v>
      </c>
      <c r="P494">
        <v>9.3000000000000007</v>
      </c>
      <c r="Q494">
        <v>4</v>
      </c>
      <c r="R494">
        <v>6.7000000000000004E-2</v>
      </c>
      <c r="S494">
        <v>70</v>
      </c>
      <c r="T494" t="s">
        <v>29</v>
      </c>
      <c r="U494" t="s">
        <v>24</v>
      </c>
      <c r="V494" t="s">
        <v>24</v>
      </c>
    </row>
    <row r="495" spans="1:22" x14ac:dyDescent="0.25">
      <c r="A495" t="s">
        <v>1912</v>
      </c>
      <c r="B495">
        <v>-7.1768999999999998</v>
      </c>
      <c r="C495">
        <v>124.9832</v>
      </c>
      <c r="D495">
        <v>486.05</v>
      </c>
      <c r="E495">
        <v>4.5</v>
      </c>
      <c r="F495" t="s">
        <v>23</v>
      </c>
      <c r="H495">
        <v>69</v>
      </c>
      <c r="I495">
        <v>2.6579999999999999</v>
      </c>
      <c r="J495">
        <v>0.9</v>
      </c>
      <c r="K495" t="s">
        <v>24</v>
      </c>
      <c r="L495" t="s">
        <v>1913</v>
      </c>
      <c r="M495" t="s">
        <v>1914</v>
      </c>
      <c r="N495" t="s">
        <v>1915</v>
      </c>
      <c r="O495" t="s">
        <v>28</v>
      </c>
      <c r="P495">
        <v>6.2</v>
      </c>
      <c r="Q495">
        <v>7.7</v>
      </c>
      <c r="R495">
        <v>0.18</v>
      </c>
      <c r="S495">
        <v>9</v>
      </c>
      <c r="T495" t="s">
        <v>29</v>
      </c>
      <c r="U495" t="s">
        <v>24</v>
      </c>
      <c r="V495" t="s">
        <v>24</v>
      </c>
    </row>
    <row r="496" spans="1:22" x14ac:dyDescent="0.25">
      <c r="A496" t="s">
        <v>1916</v>
      </c>
      <c r="B496">
        <v>-7.1948999999999996</v>
      </c>
      <c r="C496">
        <v>125.10120000000001</v>
      </c>
      <c r="D496">
        <v>517.89</v>
      </c>
      <c r="E496">
        <v>4.5</v>
      </c>
      <c r="F496" t="s">
        <v>23</v>
      </c>
      <c r="H496">
        <v>45</v>
      </c>
      <c r="I496">
        <v>2.6739999999999999</v>
      </c>
      <c r="J496">
        <v>0.85</v>
      </c>
      <c r="K496" t="s">
        <v>24</v>
      </c>
      <c r="L496" t="s">
        <v>1917</v>
      </c>
      <c r="M496" t="s">
        <v>1918</v>
      </c>
      <c r="N496" t="s">
        <v>1919</v>
      </c>
      <c r="O496" t="s">
        <v>28</v>
      </c>
      <c r="P496">
        <v>12.3</v>
      </c>
      <c r="Q496">
        <v>8.6999999999999993</v>
      </c>
      <c r="R496">
        <v>0.104</v>
      </c>
      <c r="S496">
        <v>27</v>
      </c>
      <c r="T496" t="s">
        <v>29</v>
      </c>
      <c r="U496" t="s">
        <v>24</v>
      </c>
      <c r="V496" t="s">
        <v>24</v>
      </c>
    </row>
    <row r="497" spans="1:22" x14ac:dyDescent="0.25">
      <c r="A497" t="s">
        <v>1920</v>
      </c>
      <c r="B497">
        <v>-6.0429000000000004</v>
      </c>
      <c r="C497">
        <v>122.58450000000001</v>
      </c>
      <c r="D497">
        <v>10</v>
      </c>
      <c r="E497">
        <v>5.4</v>
      </c>
      <c r="F497" t="s">
        <v>1564</v>
      </c>
      <c r="H497">
        <v>44</v>
      </c>
      <c r="I497">
        <v>2.5979999999999999</v>
      </c>
      <c r="J497">
        <v>1.17</v>
      </c>
      <c r="K497" t="s">
        <v>24</v>
      </c>
      <c r="L497" t="s">
        <v>1921</v>
      </c>
      <c r="M497" t="s">
        <v>1922</v>
      </c>
      <c r="N497" t="s">
        <v>1923</v>
      </c>
      <c r="O497" t="s">
        <v>28</v>
      </c>
      <c r="P497">
        <v>6.4</v>
      </c>
      <c r="Q497">
        <v>1.7</v>
      </c>
      <c r="R497">
        <v>6.9000000000000006E-2</v>
      </c>
      <c r="S497">
        <v>20</v>
      </c>
      <c r="T497" t="s">
        <v>29</v>
      </c>
      <c r="U497" t="s">
        <v>24</v>
      </c>
      <c r="V497" t="s">
        <v>24</v>
      </c>
    </row>
    <row r="498" spans="1:22" x14ac:dyDescent="0.25">
      <c r="A498" t="s">
        <v>1924</v>
      </c>
      <c r="B498">
        <v>-5.9722999999999997</v>
      </c>
      <c r="C498">
        <v>122.6409</v>
      </c>
      <c r="D498">
        <v>10</v>
      </c>
      <c r="E498">
        <v>4.5999999999999996</v>
      </c>
      <c r="F498" t="s">
        <v>23</v>
      </c>
      <c r="H498">
        <v>94</v>
      </c>
      <c r="I498">
        <v>2.6760000000000002</v>
      </c>
      <c r="J498">
        <v>0.77</v>
      </c>
      <c r="K498" t="s">
        <v>24</v>
      </c>
      <c r="L498" t="s">
        <v>1925</v>
      </c>
      <c r="M498" t="s">
        <v>1926</v>
      </c>
      <c r="N498" t="s">
        <v>1927</v>
      </c>
      <c r="O498" t="s">
        <v>28</v>
      </c>
      <c r="P498">
        <v>6.2</v>
      </c>
      <c r="Q498">
        <v>1.7</v>
      </c>
      <c r="R498">
        <v>0.10299999999999999</v>
      </c>
      <c r="S498">
        <v>28</v>
      </c>
      <c r="T498" t="s">
        <v>29</v>
      </c>
      <c r="U498" t="s">
        <v>24</v>
      </c>
      <c r="V498" t="s">
        <v>24</v>
      </c>
    </row>
    <row r="499" spans="1:22" x14ac:dyDescent="0.25">
      <c r="A499" t="s">
        <v>1928</v>
      </c>
      <c r="B499">
        <v>-6.0606999999999998</v>
      </c>
      <c r="C499">
        <v>122.5599</v>
      </c>
      <c r="D499">
        <v>10</v>
      </c>
      <c r="E499">
        <v>4.5</v>
      </c>
      <c r="F499" t="s">
        <v>23</v>
      </c>
      <c r="H499">
        <v>59</v>
      </c>
      <c r="I499">
        <v>2.5779999999999998</v>
      </c>
      <c r="J499">
        <v>0.7</v>
      </c>
      <c r="K499" t="s">
        <v>24</v>
      </c>
      <c r="L499" t="s">
        <v>1929</v>
      </c>
      <c r="M499" t="s">
        <v>1930</v>
      </c>
      <c r="N499" t="s">
        <v>1481</v>
      </c>
      <c r="O499" t="s">
        <v>28</v>
      </c>
      <c r="P499">
        <v>6.9</v>
      </c>
      <c r="Q499">
        <v>1.8</v>
      </c>
      <c r="R499">
        <v>0.113</v>
      </c>
      <c r="S499">
        <v>23</v>
      </c>
      <c r="T499" t="s">
        <v>29</v>
      </c>
      <c r="U499" t="s">
        <v>24</v>
      </c>
      <c r="V499" t="s">
        <v>24</v>
      </c>
    </row>
    <row r="500" spans="1:22" x14ac:dyDescent="0.25">
      <c r="A500" t="s">
        <v>1931</v>
      </c>
      <c r="B500">
        <v>-6.6955999999999998</v>
      </c>
      <c r="C500">
        <v>125.14619999999999</v>
      </c>
      <c r="D500">
        <v>563.97</v>
      </c>
      <c r="E500">
        <v>4.5</v>
      </c>
      <c r="F500" t="s">
        <v>23</v>
      </c>
      <c r="H500">
        <v>37</v>
      </c>
      <c r="I500">
        <v>3.1619999999999999</v>
      </c>
      <c r="J500">
        <v>1</v>
      </c>
      <c r="K500" t="s">
        <v>24</v>
      </c>
      <c r="L500" t="s">
        <v>1932</v>
      </c>
      <c r="M500" t="s">
        <v>1933</v>
      </c>
      <c r="N500" t="s">
        <v>1934</v>
      </c>
      <c r="O500" t="s">
        <v>28</v>
      </c>
      <c r="P500">
        <v>10.8</v>
      </c>
      <c r="Q500">
        <v>3.1</v>
      </c>
      <c r="R500">
        <v>8.7999999999999995E-2</v>
      </c>
      <c r="S500">
        <v>38</v>
      </c>
      <c r="T500" t="s">
        <v>29</v>
      </c>
      <c r="U500" t="s">
        <v>24</v>
      </c>
      <c r="V500" t="s">
        <v>24</v>
      </c>
    </row>
    <row r="501" spans="1:22" x14ac:dyDescent="0.25">
      <c r="A501" t="s">
        <v>1935</v>
      </c>
      <c r="B501">
        <v>-6.0388000000000002</v>
      </c>
      <c r="C501">
        <v>122.5792</v>
      </c>
      <c r="D501">
        <v>10</v>
      </c>
      <c r="E501">
        <v>4.5</v>
      </c>
      <c r="F501" t="s">
        <v>23</v>
      </c>
      <c r="H501">
        <v>102</v>
      </c>
      <c r="I501">
        <v>2.6019999999999999</v>
      </c>
      <c r="J501">
        <v>1</v>
      </c>
      <c r="K501" t="s">
        <v>24</v>
      </c>
      <c r="L501" t="s">
        <v>1936</v>
      </c>
      <c r="M501" t="s">
        <v>1937</v>
      </c>
      <c r="N501" t="s">
        <v>1923</v>
      </c>
      <c r="O501" t="s">
        <v>28</v>
      </c>
      <c r="P501">
        <v>4.5999999999999996</v>
      </c>
      <c r="Q501">
        <v>1.9</v>
      </c>
      <c r="R501">
        <v>0.14000000000000001</v>
      </c>
      <c r="S501">
        <v>15</v>
      </c>
      <c r="T501" t="s">
        <v>29</v>
      </c>
      <c r="U501" t="s">
        <v>24</v>
      </c>
      <c r="V501" t="s">
        <v>24</v>
      </c>
    </row>
    <row r="502" spans="1:22" x14ac:dyDescent="0.25">
      <c r="A502" t="s">
        <v>1938</v>
      </c>
      <c r="B502">
        <v>-7.2217000000000002</v>
      </c>
      <c r="C502">
        <v>120.1887</v>
      </c>
      <c r="D502">
        <v>605.85</v>
      </c>
      <c r="E502">
        <v>5.2</v>
      </c>
      <c r="F502" t="s">
        <v>1564</v>
      </c>
      <c r="H502">
        <v>47</v>
      </c>
      <c r="I502">
        <v>2.468</v>
      </c>
      <c r="J502">
        <v>1.1000000000000001</v>
      </c>
      <c r="K502" t="s">
        <v>24</v>
      </c>
      <c r="L502" t="s">
        <v>1939</v>
      </c>
      <c r="M502" t="s">
        <v>1940</v>
      </c>
      <c r="N502" t="s">
        <v>27</v>
      </c>
      <c r="O502" t="s">
        <v>28</v>
      </c>
      <c r="P502">
        <v>10.4</v>
      </c>
      <c r="Q502">
        <v>4.8</v>
      </c>
      <c r="R502">
        <v>8.8999999999999996E-2</v>
      </c>
      <c r="S502">
        <v>12</v>
      </c>
      <c r="T502" t="s">
        <v>29</v>
      </c>
      <c r="U502" t="s">
        <v>24</v>
      </c>
      <c r="V502" t="s">
        <v>24</v>
      </c>
    </row>
    <row r="503" spans="1:22" x14ac:dyDescent="0.25">
      <c r="A503" t="s">
        <v>1941</v>
      </c>
      <c r="B503">
        <v>-7.2529000000000003</v>
      </c>
      <c r="C503">
        <v>120.4325</v>
      </c>
      <c r="D503">
        <v>613.25</v>
      </c>
      <c r="E503">
        <v>5.6</v>
      </c>
      <c r="F503" t="s">
        <v>1564</v>
      </c>
      <c r="H503">
        <v>21</v>
      </c>
      <c r="I503">
        <v>2.254</v>
      </c>
      <c r="J503">
        <v>1.07</v>
      </c>
      <c r="K503" t="s">
        <v>24</v>
      </c>
      <c r="L503" t="s">
        <v>1942</v>
      </c>
      <c r="M503" t="s">
        <v>1943</v>
      </c>
      <c r="N503" t="s">
        <v>1944</v>
      </c>
      <c r="O503" t="s">
        <v>28</v>
      </c>
      <c r="P503">
        <v>8</v>
      </c>
      <c r="Q503">
        <v>3.3</v>
      </c>
      <c r="R503">
        <v>5.1999999999999998E-2</v>
      </c>
      <c r="S503">
        <v>35</v>
      </c>
      <c r="T503" t="s">
        <v>29</v>
      </c>
      <c r="U503" t="s">
        <v>24</v>
      </c>
      <c r="V503" t="s">
        <v>24</v>
      </c>
    </row>
    <row r="504" spans="1:22" x14ac:dyDescent="0.25">
      <c r="A504" t="s">
        <v>1945</v>
      </c>
      <c r="B504">
        <v>-7.2598000000000003</v>
      </c>
      <c r="C504">
        <v>120.69540000000001</v>
      </c>
      <c r="D504">
        <v>618.65</v>
      </c>
      <c r="E504">
        <v>4.9000000000000004</v>
      </c>
      <c r="F504" t="s">
        <v>23</v>
      </c>
      <c r="H504">
        <v>45</v>
      </c>
      <c r="I504">
        <v>2.0499999999999998</v>
      </c>
      <c r="J504">
        <v>1.08</v>
      </c>
      <c r="K504" t="s">
        <v>24</v>
      </c>
      <c r="L504" t="s">
        <v>1946</v>
      </c>
      <c r="M504" t="s">
        <v>1947</v>
      </c>
      <c r="N504" t="s">
        <v>1948</v>
      </c>
      <c r="O504" t="s">
        <v>28</v>
      </c>
      <c r="P504">
        <v>9.3000000000000007</v>
      </c>
      <c r="Q504">
        <v>5.8</v>
      </c>
      <c r="R504">
        <v>6.5000000000000002E-2</v>
      </c>
      <c r="S504">
        <v>73</v>
      </c>
      <c r="T504" t="s">
        <v>29</v>
      </c>
      <c r="U504" t="s">
        <v>24</v>
      </c>
      <c r="V504" t="s">
        <v>24</v>
      </c>
    </row>
    <row r="505" spans="1:22" x14ac:dyDescent="0.25">
      <c r="A505" t="s">
        <v>1949</v>
      </c>
      <c r="B505">
        <v>-7.3486000000000002</v>
      </c>
      <c r="C505">
        <v>125.27979999999999</v>
      </c>
      <c r="D505">
        <v>428.11</v>
      </c>
      <c r="E505">
        <v>5.4</v>
      </c>
      <c r="F505" t="s">
        <v>1564</v>
      </c>
      <c r="H505">
        <v>22</v>
      </c>
      <c r="I505">
        <v>2.5920000000000001</v>
      </c>
      <c r="J505">
        <v>0.82</v>
      </c>
      <c r="K505" t="s">
        <v>24</v>
      </c>
      <c r="L505" t="s">
        <v>1950</v>
      </c>
      <c r="M505" t="s">
        <v>1951</v>
      </c>
      <c r="N505" t="s">
        <v>1952</v>
      </c>
      <c r="O505" t="s">
        <v>28</v>
      </c>
      <c r="P505">
        <v>8.9</v>
      </c>
      <c r="Q505">
        <v>5.7</v>
      </c>
      <c r="R505">
        <v>9.8000000000000004E-2</v>
      </c>
      <c r="S505">
        <v>10</v>
      </c>
      <c r="T505" t="s">
        <v>29</v>
      </c>
      <c r="U505" t="s">
        <v>24</v>
      </c>
      <c r="V505" t="s">
        <v>24</v>
      </c>
    </row>
    <row r="506" spans="1:22" x14ac:dyDescent="0.25">
      <c r="A506" t="s">
        <v>1953</v>
      </c>
      <c r="B506">
        <v>-5.5754000000000001</v>
      </c>
      <c r="C506">
        <v>120.8758</v>
      </c>
      <c r="D506">
        <v>10</v>
      </c>
      <c r="E506">
        <v>4.5</v>
      </c>
      <c r="F506" t="s">
        <v>23</v>
      </c>
      <c r="H506">
        <v>75</v>
      </c>
      <c r="I506">
        <v>1.25</v>
      </c>
      <c r="J506">
        <v>0.72</v>
      </c>
      <c r="K506" t="s">
        <v>24</v>
      </c>
      <c r="L506" t="s">
        <v>1954</v>
      </c>
      <c r="M506" t="s">
        <v>1955</v>
      </c>
      <c r="N506" t="s">
        <v>1956</v>
      </c>
      <c r="O506" t="s">
        <v>28</v>
      </c>
      <c r="P506">
        <v>6.1</v>
      </c>
      <c r="Q506">
        <v>1.6</v>
      </c>
      <c r="R506">
        <v>0.20499999999999999</v>
      </c>
      <c r="S506">
        <v>7</v>
      </c>
      <c r="T506" t="s">
        <v>29</v>
      </c>
      <c r="U506" t="s">
        <v>24</v>
      </c>
      <c r="V506" t="s">
        <v>24</v>
      </c>
    </row>
    <row r="507" spans="1:22" x14ac:dyDescent="0.25">
      <c r="A507" t="s">
        <v>1957</v>
      </c>
      <c r="B507">
        <v>-6.0392999999999999</v>
      </c>
      <c r="C507">
        <v>125.1734</v>
      </c>
      <c r="D507">
        <v>572.48</v>
      </c>
      <c r="E507">
        <v>4.5</v>
      </c>
      <c r="F507" t="s">
        <v>23</v>
      </c>
      <c r="H507">
        <v>70</v>
      </c>
      <c r="I507">
        <v>3.7989999999999999</v>
      </c>
      <c r="J507">
        <v>0.6</v>
      </c>
      <c r="K507" t="s">
        <v>24</v>
      </c>
      <c r="L507" t="s">
        <v>1958</v>
      </c>
      <c r="M507" t="s">
        <v>1959</v>
      </c>
      <c r="N507" t="s">
        <v>1960</v>
      </c>
      <c r="O507" t="s">
        <v>28</v>
      </c>
      <c r="P507">
        <v>13.4</v>
      </c>
      <c r="Q507">
        <v>10.3</v>
      </c>
      <c r="R507">
        <v>0.13600000000000001</v>
      </c>
      <c r="S507">
        <v>16</v>
      </c>
      <c r="T507" t="s">
        <v>29</v>
      </c>
      <c r="U507" t="s">
        <v>24</v>
      </c>
      <c r="V507" t="s">
        <v>24</v>
      </c>
    </row>
    <row r="508" spans="1:22" x14ac:dyDescent="0.25">
      <c r="A508" t="s">
        <v>1961</v>
      </c>
      <c r="B508">
        <v>-6.8765000000000001</v>
      </c>
      <c r="C508">
        <v>125.0565</v>
      </c>
      <c r="D508">
        <v>551.99</v>
      </c>
      <c r="E508">
        <v>4.5</v>
      </c>
      <c r="F508" t="s">
        <v>23</v>
      </c>
      <c r="H508">
        <v>38</v>
      </c>
      <c r="I508">
        <v>2.9649999999999999</v>
      </c>
      <c r="J508">
        <v>0.85</v>
      </c>
      <c r="K508" t="s">
        <v>24</v>
      </c>
      <c r="L508" t="s">
        <v>1962</v>
      </c>
      <c r="M508" t="s">
        <v>1963</v>
      </c>
      <c r="N508" t="s">
        <v>1964</v>
      </c>
      <c r="O508" t="s">
        <v>28</v>
      </c>
      <c r="P508">
        <v>5.7</v>
      </c>
      <c r="Q508">
        <v>7</v>
      </c>
      <c r="R508">
        <v>7.8E-2</v>
      </c>
      <c r="S508">
        <v>49</v>
      </c>
      <c r="T508" t="s">
        <v>29</v>
      </c>
      <c r="U508" t="s">
        <v>24</v>
      </c>
      <c r="V508" t="s">
        <v>24</v>
      </c>
    </row>
    <row r="509" spans="1:22" x14ac:dyDescent="0.25">
      <c r="A509" t="s">
        <v>1965</v>
      </c>
      <c r="B509">
        <v>-6.9539999999999997</v>
      </c>
      <c r="C509">
        <v>125.1884</v>
      </c>
      <c r="D509">
        <v>493.72</v>
      </c>
      <c r="E509">
        <v>4.5999999999999996</v>
      </c>
      <c r="F509" t="s">
        <v>23</v>
      </c>
      <c r="H509">
        <v>97</v>
      </c>
      <c r="I509">
        <v>2.9279999999999999</v>
      </c>
      <c r="J509">
        <v>0.68</v>
      </c>
      <c r="K509" t="s">
        <v>24</v>
      </c>
      <c r="L509" t="s">
        <v>1966</v>
      </c>
      <c r="M509" t="s">
        <v>1967</v>
      </c>
      <c r="N509" t="s">
        <v>1100</v>
      </c>
      <c r="O509" t="s">
        <v>28</v>
      </c>
      <c r="P509">
        <v>14.7</v>
      </c>
      <c r="Q509">
        <v>11.7</v>
      </c>
      <c r="R509">
        <v>0.151</v>
      </c>
      <c r="S509">
        <v>13</v>
      </c>
      <c r="T509" t="s">
        <v>29</v>
      </c>
      <c r="U509" t="s">
        <v>24</v>
      </c>
      <c r="V509" t="s">
        <v>24</v>
      </c>
    </row>
    <row r="510" spans="1:22" x14ac:dyDescent="0.25">
      <c r="A510" t="s">
        <v>1968</v>
      </c>
      <c r="B510">
        <v>-5.8246000000000002</v>
      </c>
      <c r="C510">
        <v>125.1562</v>
      </c>
      <c r="D510">
        <v>555.87</v>
      </c>
      <c r="E510">
        <v>4.9000000000000004</v>
      </c>
      <c r="F510" t="s">
        <v>23</v>
      </c>
      <c r="H510">
        <v>72</v>
      </c>
      <c r="I510">
        <v>4.0030000000000001</v>
      </c>
      <c r="J510">
        <v>0.62</v>
      </c>
      <c r="K510" t="s">
        <v>24</v>
      </c>
      <c r="L510" t="s">
        <v>1969</v>
      </c>
      <c r="M510" t="s">
        <v>1970</v>
      </c>
      <c r="N510" t="s">
        <v>37</v>
      </c>
      <c r="O510" t="s">
        <v>28</v>
      </c>
      <c r="P510">
        <v>10</v>
      </c>
      <c r="Q510">
        <v>11.8</v>
      </c>
      <c r="R510">
        <v>0.22900000000000001</v>
      </c>
      <c r="S510">
        <v>6</v>
      </c>
      <c r="T510" t="s">
        <v>29</v>
      </c>
      <c r="U510" t="s">
        <v>24</v>
      </c>
      <c r="V510" t="s">
        <v>24</v>
      </c>
    </row>
    <row r="511" spans="1:22" x14ac:dyDescent="0.25">
      <c r="A511" t="s">
        <v>1971</v>
      </c>
      <c r="B511">
        <v>-5.8003999999999998</v>
      </c>
      <c r="C511">
        <v>125.1454</v>
      </c>
      <c r="D511">
        <v>589.76</v>
      </c>
      <c r="E511">
        <v>4.5</v>
      </c>
      <c r="F511" t="s">
        <v>23</v>
      </c>
      <c r="H511">
        <v>76</v>
      </c>
      <c r="I511">
        <v>4.024</v>
      </c>
      <c r="J511">
        <v>0.81</v>
      </c>
      <c r="K511" t="s">
        <v>24</v>
      </c>
      <c r="L511" t="s">
        <v>1972</v>
      </c>
      <c r="M511" t="s">
        <v>1973</v>
      </c>
      <c r="N511" t="s">
        <v>37</v>
      </c>
      <c r="O511" t="s">
        <v>28</v>
      </c>
      <c r="P511">
        <v>12.6</v>
      </c>
      <c r="Q511">
        <v>9.6999999999999993</v>
      </c>
      <c r="R511">
        <v>0.11799999999999999</v>
      </c>
      <c r="S511">
        <v>21</v>
      </c>
      <c r="T511" t="s">
        <v>29</v>
      </c>
      <c r="U511" t="s">
        <v>24</v>
      </c>
      <c r="V511" t="s">
        <v>24</v>
      </c>
    </row>
    <row r="512" spans="1:22" x14ac:dyDescent="0.25">
      <c r="A512" t="s">
        <v>1974</v>
      </c>
      <c r="B512">
        <v>-6.9776999999999996</v>
      </c>
      <c r="C512">
        <v>124.98779999999999</v>
      </c>
      <c r="D512">
        <v>538.69000000000005</v>
      </c>
      <c r="E512">
        <v>4.8</v>
      </c>
      <c r="F512" t="s">
        <v>23</v>
      </c>
      <c r="H512">
        <v>37</v>
      </c>
      <c r="I512">
        <v>2.85</v>
      </c>
      <c r="J512">
        <v>0.53</v>
      </c>
      <c r="K512" t="s">
        <v>24</v>
      </c>
      <c r="L512" t="s">
        <v>1975</v>
      </c>
      <c r="M512" t="s">
        <v>1976</v>
      </c>
      <c r="N512" t="s">
        <v>1977</v>
      </c>
      <c r="O512" t="s">
        <v>28</v>
      </c>
      <c r="P512">
        <v>10.3</v>
      </c>
      <c r="Q512">
        <v>3.2</v>
      </c>
      <c r="R512">
        <v>4.9000000000000002E-2</v>
      </c>
      <c r="S512">
        <v>131</v>
      </c>
      <c r="T512" t="s">
        <v>29</v>
      </c>
      <c r="U512" t="s">
        <v>24</v>
      </c>
      <c r="V512" t="s">
        <v>24</v>
      </c>
    </row>
    <row r="513" spans="1:22" x14ac:dyDescent="0.25">
      <c r="A513" t="s">
        <v>1978</v>
      </c>
      <c r="B513">
        <v>-5.4481000000000002</v>
      </c>
      <c r="C513">
        <v>123.1961</v>
      </c>
      <c r="D513">
        <v>10</v>
      </c>
      <c r="E513">
        <v>4.8</v>
      </c>
      <c r="F513" t="s">
        <v>23</v>
      </c>
      <c r="H513">
        <v>50</v>
      </c>
      <c r="I513">
        <v>3.306</v>
      </c>
      <c r="J513">
        <v>0.41</v>
      </c>
      <c r="K513" t="s">
        <v>24</v>
      </c>
      <c r="L513" t="s">
        <v>1979</v>
      </c>
      <c r="M513" t="s">
        <v>1980</v>
      </c>
      <c r="N513" t="s">
        <v>1981</v>
      </c>
      <c r="O513" t="s">
        <v>28</v>
      </c>
      <c r="P513">
        <v>6.4</v>
      </c>
      <c r="Q513">
        <v>1.8</v>
      </c>
      <c r="R513">
        <v>9.7000000000000003E-2</v>
      </c>
      <c r="S513">
        <v>33</v>
      </c>
      <c r="T513" t="s">
        <v>29</v>
      </c>
      <c r="U513" t="s">
        <v>24</v>
      </c>
      <c r="V513" t="s">
        <v>24</v>
      </c>
    </row>
    <row r="514" spans="1:22" x14ac:dyDescent="0.25">
      <c r="A514" t="s">
        <v>1982</v>
      </c>
      <c r="B514">
        <v>-7.5084999999999997</v>
      </c>
      <c r="C514">
        <v>119.27290000000001</v>
      </c>
      <c r="D514">
        <v>282.69</v>
      </c>
      <c r="E514">
        <v>4.7</v>
      </c>
      <c r="F514" t="s">
        <v>23</v>
      </c>
      <c r="H514">
        <v>42</v>
      </c>
      <c r="I514">
        <v>2.5230000000000001</v>
      </c>
      <c r="J514">
        <v>0.72</v>
      </c>
      <c r="K514" t="s">
        <v>24</v>
      </c>
      <c r="L514" t="s">
        <v>1983</v>
      </c>
      <c r="M514" t="s">
        <v>1984</v>
      </c>
      <c r="N514" t="s">
        <v>1985</v>
      </c>
      <c r="O514" t="s">
        <v>28</v>
      </c>
      <c r="P514">
        <v>7.4</v>
      </c>
      <c r="Q514">
        <v>3.9</v>
      </c>
      <c r="R514">
        <v>0.06</v>
      </c>
      <c r="S514">
        <v>85</v>
      </c>
      <c r="T514" t="s">
        <v>29</v>
      </c>
      <c r="U514" t="s">
        <v>24</v>
      </c>
      <c r="V514" t="s">
        <v>24</v>
      </c>
    </row>
    <row r="515" spans="1:22" x14ac:dyDescent="0.25">
      <c r="A515" t="s">
        <v>1986</v>
      </c>
      <c r="B515">
        <v>-7.3822999999999999</v>
      </c>
      <c r="C515">
        <v>121.7602</v>
      </c>
      <c r="D515">
        <v>10</v>
      </c>
      <c r="E515">
        <v>5.0999999999999996</v>
      </c>
      <c r="F515" t="s">
        <v>23</v>
      </c>
      <c r="H515">
        <v>95</v>
      </c>
      <c r="I515">
        <v>1.3320000000000001</v>
      </c>
      <c r="J515">
        <v>0.78</v>
      </c>
      <c r="K515" t="s">
        <v>24</v>
      </c>
      <c r="L515" t="s">
        <v>1987</v>
      </c>
      <c r="M515" t="s">
        <v>1988</v>
      </c>
      <c r="N515" t="s">
        <v>1989</v>
      </c>
      <c r="O515" t="s">
        <v>28</v>
      </c>
      <c r="P515">
        <v>7</v>
      </c>
      <c r="Q515">
        <v>1.8</v>
      </c>
      <c r="R515">
        <v>0.14699999999999999</v>
      </c>
      <c r="S515">
        <v>15</v>
      </c>
      <c r="T515" t="s">
        <v>29</v>
      </c>
      <c r="U515" t="s">
        <v>24</v>
      </c>
      <c r="V515" t="s">
        <v>24</v>
      </c>
    </row>
    <row r="516" spans="1:22" x14ac:dyDescent="0.25">
      <c r="A516" t="s">
        <v>1990</v>
      </c>
      <c r="B516">
        <v>-7.5495999999999999</v>
      </c>
      <c r="C516">
        <v>121.7358</v>
      </c>
      <c r="D516">
        <v>10</v>
      </c>
      <c r="E516">
        <v>5</v>
      </c>
      <c r="F516" t="s">
        <v>23</v>
      </c>
      <c r="H516">
        <v>87</v>
      </c>
      <c r="I516">
        <v>1.1879999999999999</v>
      </c>
      <c r="J516">
        <v>0.8</v>
      </c>
      <c r="K516" t="s">
        <v>24</v>
      </c>
      <c r="L516" t="s">
        <v>1991</v>
      </c>
      <c r="M516" t="s">
        <v>1992</v>
      </c>
      <c r="N516" t="s">
        <v>1993</v>
      </c>
      <c r="O516" t="s">
        <v>28</v>
      </c>
      <c r="P516">
        <v>6</v>
      </c>
      <c r="Q516">
        <v>1.9</v>
      </c>
      <c r="R516">
        <v>7.5999999999999998E-2</v>
      </c>
      <c r="S516">
        <v>55</v>
      </c>
      <c r="T516" t="s">
        <v>29</v>
      </c>
      <c r="U516" t="s">
        <v>24</v>
      </c>
      <c r="V516" t="s">
        <v>24</v>
      </c>
    </row>
    <row r="517" spans="1:22" x14ac:dyDescent="0.25">
      <c r="A517" t="s">
        <v>1994</v>
      </c>
      <c r="B517">
        <v>-7.5366999999999997</v>
      </c>
      <c r="C517">
        <v>121.8764</v>
      </c>
      <c r="D517">
        <v>10</v>
      </c>
      <c r="E517">
        <v>4.5999999999999996</v>
      </c>
      <c r="F517" t="s">
        <v>23</v>
      </c>
      <c r="H517">
        <v>116</v>
      </c>
      <c r="I517">
        <v>1.149</v>
      </c>
      <c r="J517">
        <v>0.86</v>
      </c>
      <c r="K517" t="s">
        <v>24</v>
      </c>
      <c r="L517" t="s">
        <v>1995</v>
      </c>
      <c r="M517" t="s">
        <v>1996</v>
      </c>
      <c r="N517" t="s">
        <v>1997</v>
      </c>
      <c r="O517" t="s">
        <v>28</v>
      </c>
      <c r="P517">
        <v>6.3</v>
      </c>
      <c r="Q517">
        <v>1.7</v>
      </c>
      <c r="R517">
        <v>0.152</v>
      </c>
      <c r="S517">
        <v>13</v>
      </c>
      <c r="T517" t="s">
        <v>29</v>
      </c>
      <c r="U517" t="s">
        <v>24</v>
      </c>
      <c r="V517" t="s">
        <v>24</v>
      </c>
    </row>
    <row r="518" spans="1:22" x14ac:dyDescent="0.25">
      <c r="A518" t="s">
        <v>1998</v>
      </c>
      <c r="B518">
        <v>-7.5496999999999996</v>
      </c>
      <c r="C518">
        <v>121.5705</v>
      </c>
      <c r="D518">
        <v>10</v>
      </c>
      <c r="E518">
        <v>4.9000000000000004</v>
      </c>
      <c r="F518" t="s">
        <v>23</v>
      </c>
      <c r="H518">
        <v>62</v>
      </c>
      <c r="I518">
        <v>1.2649999999999999</v>
      </c>
      <c r="J518">
        <v>1.1399999999999999</v>
      </c>
      <c r="K518" t="s">
        <v>24</v>
      </c>
      <c r="L518" t="s">
        <v>1999</v>
      </c>
      <c r="M518" t="s">
        <v>2000</v>
      </c>
      <c r="N518" t="s">
        <v>2001</v>
      </c>
      <c r="O518" t="s">
        <v>28</v>
      </c>
      <c r="P518">
        <v>6.8</v>
      </c>
      <c r="Q518">
        <v>1.8</v>
      </c>
      <c r="R518">
        <v>8.5000000000000006E-2</v>
      </c>
      <c r="S518">
        <v>43</v>
      </c>
      <c r="T518" t="s">
        <v>29</v>
      </c>
      <c r="U518" t="s">
        <v>24</v>
      </c>
      <c r="V518" t="s">
        <v>24</v>
      </c>
    </row>
    <row r="519" spans="1:22" x14ac:dyDescent="0.25">
      <c r="A519" t="s">
        <v>2002</v>
      </c>
      <c r="B519">
        <v>-7.1978999999999997</v>
      </c>
      <c r="C519">
        <v>121.16289999999999</v>
      </c>
      <c r="D519">
        <v>10</v>
      </c>
      <c r="E519">
        <v>4.5</v>
      </c>
      <c r="F519" t="s">
        <v>23</v>
      </c>
      <c r="H519">
        <v>89</v>
      </c>
      <c r="I519">
        <v>1.7809999999999999</v>
      </c>
      <c r="J519">
        <v>1.04</v>
      </c>
      <c r="K519" t="s">
        <v>24</v>
      </c>
      <c r="L519" t="s">
        <v>2003</v>
      </c>
      <c r="M519" t="s">
        <v>2004</v>
      </c>
      <c r="N519" t="s">
        <v>2005</v>
      </c>
      <c r="O519" t="s">
        <v>28</v>
      </c>
      <c r="P519">
        <v>6.8</v>
      </c>
      <c r="Q519">
        <v>1.8</v>
      </c>
      <c r="R519">
        <v>0.15</v>
      </c>
      <c r="S519">
        <v>13</v>
      </c>
      <c r="T519" t="s">
        <v>29</v>
      </c>
      <c r="U519" t="s">
        <v>24</v>
      </c>
      <c r="V519" t="s">
        <v>24</v>
      </c>
    </row>
    <row r="520" spans="1:22" x14ac:dyDescent="0.25">
      <c r="A520" t="s">
        <v>2006</v>
      </c>
      <c r="B520">
        <v>-7.3960999999999997</v>
      </c>
      <c r="C520">
        <v>121.17919999999999</v>
      </c>
      <c r="D520">
        <v>10</v>
      </c>
      <c r="E520">
        <v>4.7</v>
      </c>
      <c r="F520" t="s">
        <v>23</v>
      </c>
      <c r="H520">
        <v>100</v>
      </c>
      <c r="I520">
        <v>1.617</v>
      </c>
      <c r="J520">
        <v>0.64</v>
      </c>
      <c r="K520" t="s">
        <v>24</v>
      </c>
      <c r="L520" t="s">
        <v>2007</v>
      </c>
      <c r="M520" t="s">
        <v>2008</v>
      </c>
      <c r="N520" t="s">
        <v>2009</v>
      </c>
      <c r="O520" t="s">
        <v>28</v>
      </c>
      <c r="P520">
        <v>5</v>
      </c>
      <c r="Q520">
        <v>1.9</v>
      </c>
      <c r="R520">
        <v>0.13</v>
      </c>
      <c r="S520">
        <v>18</v>
      </c>
      <c r="T520" t="s">
        <v>29</v>
      </c>
      <c r="U520" t="s">
        <v>24</v>
      </c>
      <c r="V520" t="s">
        <v>24</v>
      </c>
    </row>
    <row r="521" spans="1:22" x14ac:dyDescent="0.25">
      <c r="A521" t="s">
        <v>2010</v>
      </c>
      <c r="B521">
        <v>-7.3634000000000004</v>
      </c>
      <c r="C521">
        <v>121.09010000000001</v>
      </c>
      <c r="D521">
        <v>10</v>
      </c>
      <c r="E521">
        <v>4.7</v>
      </c>
      <c r="F521" t="s">
        <v>23</v>
      </c>
      <c r="H521">
        <v>69</v>
      </c>
      <c r="I521">
        <v>1.6990000000000001</v>
      </c>
      <c r="J521">
        <v>0.39</v>
      </c>
      <c r="K521" t="s">
        <v>24</v>
      </c>
      <c r="L521" t="s">
        <v>2011</v>
      </c>
      <c r="M521" t="s">
        <v>2012</v>
      </c>
      <c r="N521" t="s">
        <v>2013</v>
      </c>
      <c r="O521" t="s">
        <v>28</v>
      </c>
      <c r="P521">
        <v>5.4</v>
      </c>
      <c r="Q521">
        <v>1.9</v>
      </c>
      <c r="R521">
        <v>0.10100000000000001</v>
      </c>
      <c r="S521">
        <v>30</v>
      </c>
      <c r="T521" t="s">
        <v>29</v>
      </c>
      <c r="U521" t="s">
        <v>24</v>
      </c>
      <c r="V521" t="s">
        <v>24</v>
      </c>
    </row>
    <row r="522" spans="1:22" x14ac:dyDescent="0.25">
      <c r="A522" t="s">
        <v>2014</v>
      </c>
      <c r="B522">
        <v>-7.2672999999999996</v>
      </c>
      <c r="C522">
        <v>121.14409999999999</v>
      </c>
      <c r="D522">
        <v>10</v>
      </c>
      <c r="E522">
        <v>4.8</v>
      </c>
      <c r="F522" t="s">
        <v>23</v>
      </c>
      <c r="H522">
        <v>95</v>
      </c>
      <c r="I522">
        <v>1.738</v>
      </c>
      <c r="J522">
        <v>1</v>
      </c>
      <c r="K522" t="s">
        <v>24</v>
      </c>
      <c r="L522" t="s">
        <v>2015</v>
      </c>
      <c r="M522" t="s">
        <v>2016</v>
      </c>
      <c r="N522" t="s">
        <v>1652</v>
      </c>
      <c r="O522" t="s">
        <v>28</v>
      </c>
      <c r="P522">
        <v>6.9</v>
      </c>
      <c r="Q522">
        <v>1.9</v>
      </c>
      <c r="R522">
        <v>0.161</v>
      </c>
      <c r="S522">
        <v>14</v>
      </c>
      <c r="T522" t="s">
        <v>29</v>
      </c>
      <c r="U522" t="s">
        <v>24</v>
      </c>
      <c r="V522" t="s">
        <v>24</v>
      </c>
    </row>
    <row r="523" spans="1:22" x14ac:dyDescent="0.25">
      <c r="A523" t="s">
        <v>2017</v>
      </c>
      <c r="B523">
        <v>-7.1882000000000001</v>
      </c>
      <c r="C523">
        <v>121.37739999999999</v>
      </c>
      <c r="D523">
        <v>10</v>
      </c>
      <c r="E523">
        <v>4.5999999999999996</v>
      </c>
      <c r="F523" t="s">
        <v>23</v>
      </c>
      <c r="H523">
        <v>64</v>
      </c>
      <c r="I523">
        <v>1.671</v>
      </c>
      <c r="J523">
        <v>1.03</v>
      </c>
      <c r="K523" t="s">
        <v>24</v>
      </c>
      <c r="L523" t="s">
        <v>2018</v>
      </c>
      <c r="M523" t="s">
        <v>2019</v>
      </c>
      <c r="N523" t="s">
        <v>2020</v>
      </c>
      <c r="O523" t="s">
        <v>28</v>
      </c>
      <c r="P523">
        <v>5.5</v>
      </c>
      <c r="Q523">
        <v>1.7</v>
      </c>
      <c r="R523">
        <v>0.1</v>
      </c>
      <c r="S523">
        <v>30</v>
      </c>
      <c r="T523" t="s">
        <v>29</v>
      </c>
      <c r="U523" t="s">
        <v>24</v>
      </c>
      <c r="V523" t="s">
        <v>24</v>
      </c>
    </row>
    <row r="524" spans="1:22" x14ac:dyDescent="0.25">
      <c r="A524" t="s">
        <v>2021</v>
      </c>
      <c r="B524">
        <v>-6.0044000000000004</v>
      </c>
      <c r="C524">
        <v>122.1332</v>
      </c>
      <c r="D524">
        <v>10</v>
      </c>
      <c r="E524">
        <v>4.9000000000000004</v>
      </c>
      <c r="F524" t="s">
        <v>23</v>
      </c>
      <c r="H524">
        <v>71</v>
      </c>
      <c r="I524">
        <v>2.5659999999999998</v>
      </c>
      <c r="J524">
        <v>0.34</v>
      </c>
      <c r="K524" t="s">
        <v>24</v>
      </c>
      <c r="L524" t="s">
        <v>2022</v>
      </c>
      <c r="M524" t="s">
        <v>2023</v>
      </c>
      <c r="N524" t="s">
        <v>2024</v>
      </c>
      <c r="O524" t="s">
        <v>28</v>
      </c>
      <c r="P524">
        <v>4.9000000000000004</v>
      </c>
      <c r="Q524">
        <v>1.9</v>
      </c>
      <c r="R524">
        <v>7.2999999999999995E-2</v>
      </c>
      <c r="S524">
        <v>60</v>
      </c>
      <c r="T524" t="s">
        <v>29</v>
      </c>
      <c r="U524" t="s">
        <v>24</v>
      </c>
      <c r="V524" t="s">
        <v>24</v>
      </c>
    </row>
    <row r="525" spans="1:22" x14ac:dyDescent="0.25">
      <c r="A525" t="s">
        <v>2025</v>
      </c>
      <c r="B525">
        <v>-4.8064999999999998</v>
      </c>
      <c r="C525">
        <v>125.0808</v>
      </c>
      <c r="D525">
        <v>544</v>
      </c>
      <c r="E525">
        <v>6</v>
      </c>
      <c r="F525" t="s">
        <v>1564</v>
      </c>
      <c r="H525">
        <v>10</v>
      </c>
      <c r="I525">
        <v>4.3929999999999998</v>
      </c>
      <c r="J525">
        <v>0.99</v>
      </c>
      <c r="K525" t="s">
        <v>24</v>
      </c>
      <c r="L525" t="s">
        <v>2026</v>
      </c>
      <c r="M525" t="s">
        <v>2027</v>
      </c>
      <c r="N525" t="s">
        <v>2028</v>
      </c>
      <c r="O525" t="s">
        <v>28</v>
      </c>
      <c r="P525">
        <v>7.5</v>
      </c>
      <c r="Q525">
        <v>1.9</v>
      </c>
      <c r="R525">
        <v>4.8000000000000001E-2</v>
      </c>
      <c r="S525">
        <v>42</v>
      </c>
      <c r="T525" t="s">
        <v>29</v>
      </c>
      <c r="U525" t="s">
        <v>24</v>
      </c>
      <c r="V525" t="s">
        <v>24</v>
      </c>
    </row>
    <row r="526" spans="1:22" x14ac:dyDescent="0.25">
      <c r="A526" t="s">
        <v>2029</v>
      </c>
      <c r="B526">
        <v>-4.5545999999999998</v>
      </c>
      <c r="C526">
        <v>124.0364</v>
      </c>
      <c r="D526">
        <v>17.309999999999999</v>
      </c>
      <c r="E526">
        <v>4.9000000000000004</v>
      </c>
      <c r="F526" t="s">
        <v>1564</v>
      </c>
      <c r="H526">
        <v>61</v>
      </c>
      <c r="I526">
        <v>3.71</v>
      </c>
      <c r="J526">
        <v>0.72</v>
      </c>
      <c r="K526" t="s">
        <v>24</v>
      </c>
      <c r="L526" t="s">
        <v>2030</v>
      </c>
      <c r="M526" t="s">
        <v>2031</v>
      </c>
      <c r="N526" t="s">
        <v>2032</v>
      </c>
      <c r="O526" t="s">
        <v>28</v>
      </c>
      <c r="P526">
        <v>5.6</v>
      </c>
      <c r="Q526">
        <v>4.5</v>
      </c>
      <c r="R526">
        <v>9.8000000000000004E-2</v>
      </c>
      <c r="S526">
        <v>10</v>
      </c>
      <c r="T526" t="s">
        <v>29</v>
      </c>
      <c r="U526" t="s">
        <v>24</v>
      </c>
      <c r="V526" t="s">
        <v>24</v>
      </c>
    </row>
    <row r="527" spans="1:22" x14ac:dyDescent="0.25">
      <c r="A527" t="s">
        <v>2033</v>
      </c>
      <c r="B527">
        <v>-6.6265999999999998</v>
      </c>
      <c r="C527">
        <v>120.74169999999999</v>
      </c>
      <c r="D527">
        <v>10</v>
      </c>
      <c r="E527">
        <v>4.8</v>
      </c>
      <c r="F527" t="s">
        <v>23</v>
      </c>
      <c r="H527">
        <v>64</v>
      </c>
      <c r="I527">
        <v>1.88</v>
      </c>
      <c r="J527">
        <v>0.91</v>
      </c>
      <c r="K527" t="s">
        <v>24</v>
      </c>
      <c r="L527" t="s">
        <v>2034</v>
      </c>
      <c r="M527" t="s">
        <v>2035</v>
      </c>
      <c r="N527" t="s">
        <v>2036</v>
      </c>
      <c r="O527" t="s">
        <v>28</v>
      </c>
      <c r="P527">
        <v>6.1</v>
      </c>
      <c r="Q527">
        <v>1.9</v>
      </c>
      <c r="R527">
        <v>9.2999999999999999E-2</v>
      </c>
      <c r="S527">
        <v>36</v>
      </c>
      <c r="T527" t="s">
        <v>29</v>
      </c>
      <c r="U527" t="s">
        <v>24</v>
      </c>
      <c r="V527" t="s">
        <v>24</v>
      </c>
    </row>
    <row r="528" spans="1:22" x14ac:dyDescent="0.25">
      <c r="A528" t="s">
        <v>2037</v>
      </c>
      <c r="B528">
        <v>-6.7797999999999998</v>
      </c>
      <c r="C528">
        <v>120.5412</v>
      </c>
      <c r="D528">
        <v>10</v>
      </c>
      <c r="E528">
        <v>4.7</v>
      </c>
      <c r="F528" t="s">
        <v>23</v>
      </c>
      <c r="H528">
        <v>95</v>
      </c>
      <c r="I528">
        <v>1.921</v>
      </c>
      <c r="J528">
        <v>0.48</v>
      </c>
      <c r="K528" t="s">
        <v>24</v>
      </c>
      <c r="L528" t="s">
        <v>2038</v>
      </c>
      <c r="M528" t="s">
        <v>2039</v>
      </c>
      <c r="N528" t="s">
        <v>2040</v>
      </c>
      <c r="O528" t="s">
        <v>28</v>
      </c>
      <c r="P528">
        <v>4.2</v>
      </c>
      <c r="Q528">
        <v>1.9</v>
      </c>
      <c r="R528">
        <v>0.16600000000000001</v>
      </c>
      <c r="S528">
        <v>11</v>
      </c>
      <c r="T528" t="s">
        <v>29</v>
      </c>
      <c r="U528" t="s">
        <v>24</v>
      </c>
      <c r="V528" t="s">
        <v>24</v>
      </c>
    </row>
    <row r="529" spans="1:22" x14ac:dyDescent="0.25">
      <c r="A529" t="s">
        <v>2041</v>
      </c>
      <c r="B529">
        <v>-7.4794999999999998</v>
      </c>
      <c r="C529">
        <v>119.6713</v>
      </c>
      <c r="D529">
        <v>10</v>
      </c>
      <c r="E529">
        <v>4.9000000000000004</v>
      </c>
      <c r="F529" t="s">
        <v>1564</v>
      </c>
      <c r="H529">
        <v>42</v>
      </c>
      <c r="I529">
        <v>2.3039999999999998</v>
      </c>
      <c r="J529">
        <v>1.03</v>
      </c>
      <c r="K529" t="s">
        <v>24</v>
      </c>
      <c r="L529" t="s">
        <v>2042</v>
      </c>
      <c r="M529" t="s">
        <v>2043</v>
      </c>
      <c r="N529" t="s">
        <v>2044</v>
      </c>
      <c r="O529" t="s">
        <v>28</v>
      </c>
      <c r="P529">
        <v>5.8</v>
      </c>
      <c r="Q529">
        <v>1.8</v>
      </c>
      <c r="R529">
        <v>8.3000000000000004E-2</v>
      </c>
      <c r="S529">
        <v>14</v>
      </c>
      <c r="T529" t="s">
        <v>29</v>
      </c>
      <c r="U529" t="s">
        <v>24</v>
      </c>
      <c r="V529" t="s">
        <v>24</v>
      </c>
    </row>
    <row r="530" spans="1:22" x14ac:dyDescent="0.25">
      <c r="A530" t="s">
        <v>2045</v>
      </c>
      <c r="B530">
        <v>-7.3954000000000004</v>
      </c>
      <c r="C530">
        <v>121.20780000000001</v>
      </c>
      <c r="D530">
        <v>10</v>
      </c>
      <c r="E530">
        <v>4.5999999999999996</v>
      </c>
      <c r="F530" t="s">
        <v>23</v>
      </c>
      <c r="H530">
        <v>58</v>
      </c>
      <c r="I530">
        <v>1.599</v>
      </c>
      <c r="J530">
        <v>0.57999999999999996</v>
      </c>
      <c r="K530" t="s">
        <v>24</v>
      </c>
      <c r="L530" t="s">
        <v>2046</v>
      </c>
      <c r="M530" t="s">
        <v>2047</v>
      </c>
      <c r="N530" t="s">
        <v>2048</v>
      </c>
      <c r="O530" t="s">
        <v>28</v>
      </c>
      <c r="P530">
        <v>5.0999999999999996</v>
      </c>
      <c r="Q530">
        <v>1.9</v>
      </c>
      <c r="R530">
        <v>0.1</v>
      </c>
      <c r="S530">
        <v>30</v>
      </c>
      <c r="T530" t="s">
        <v>29</v>
      </c>
      <c r="U530" t="s">
        <v>24</v>
      </c>
      <c r="V530" t="s">
        <v>24</v>
      </c>
    </row>
    <row r="531" spans="1:22" x14ac:dyDescent="0.25">
      <c r="A531" t="s">
        <v>2049</v>
      </c>
      <c r="B531">
        <v>-7.3449</v>
      </c>
      <c r="C531">
        <v>121.3006</v>
      </c>
      <c r="D531">
        <v>10</v>
      </c>
      <c r="E531">
        <v>4.5999999999999996</v>
      </c>
      <c r="F531" t="s">
        <v>23</v>
      </c>
      <c r="H531">
        <v>90</v>
      </c>
      <c r="I531">
        <v>1.583</v>
      </c>
      <c r="J531">
        <v>0.54</v>
      </c>
      <c r="K531" t="s">
        <v>24</v>
      </c>
      <c r="L531" t="s">
        <v>2050</v>
      </c>
      <c r="M531" t="s">
        <v>2051</v>
      </c>
      <c r="N531" t="s">
        <v>1063</v>
      </c>
      <c r="O531" t="s">
        <v>28</v>
      </c>
      <c r="P531">
        <v>7.2</v>
      </c>
      <c r="Q531">
        <v>1.9</v>
      </c>
      <c r="R531">
        <v>0.13200000000000001</v>
      </c>
      <c r="S531">
        <v>17</v>
      </c>
      <c r="T531" t="s">
        <v>29</v>
      </c>
      <c r="U531" t="s">
        <v>24</v>
      </c>
      <c r="V531" t="s">
        <v>24</v>
      </c>
    </row>
    <row r="532" spans="1:22" x14ac:dyDescent="0.25">
      <c r="A532" t="s">
        <v>2052</v>
      </c>
      <c r="B532">
        <v>-7.5399000000000003</v>
      </c>
      <c r="C532">
        <v>121.5478</v>
      </c>
      <c r="D532">
        <v>10</v>
      </c>
      <c r="E532">
        <v>4.5</v>
      </c>
      <c r="F532" t="s">
        <v>23</v>
      </c>
      <c r="H532">
        <v>65</v>
      </c>
      <c r="I532">
        <v>1.2849999999999999</v>
      </c>
      <c r="J532">
        <v>0.92</v>
      </c>
      <c r="K532" t="s">
        <v>24</v>
      </c>
      <c r="L532" t="s">
        <v>2053</v>
      </c>
      <c r="M532" t="s">
        <v>2054</v>
      </c>
      <c r="N532" t="s">
        <v>2055</v>
      </c>
      <c r="O532" t="s">
        <v>28</v>
      </c>
      <c r="P532">
        <v>6.7</v>
      </c>
      <c r="Q532">
        <v>1.9</v>
      </c>
      <c r="R532">
        <v>9.2999999999999999E-2</v>
      </c>
      <c r="S532">
        <v>34</v>
      </c>
      <c r="T532" t="s">
        <v>29</v>
      </c>
      <c r="U532" t="s">
        <v>24</v>
      </c>
      <c r="V532" t="s">
        <v>24</v>
      </c>
    </row>
    <row r="533" spans="1:22" x14ac:dyDescent="0.25">
      <c r="A533" t="s">
        <v>2056</v>
      </c>
      <c r="B533">
        <v>-7.4768999999999997</v>
      </c>
      <c r="C533">
        <v>121.1446</v>
      </c>
      <c r="D533">
        <v>10</v>
      </c>
      <c r="E533">
        <v>4.5</v>
      </c>
      <c r="F533" t="s">
        <v>23</v>
      </c>
      <c r="H533">
        <v>46</v>
      </c>
      <c r="I533">
        <v>1.58</v>
      </c>
      <c r="J533">
        <v>1.24</v>
      </c>
      <c r="K533" t="s">
        <v>24</v>
      </c>
      <c r="L533" t="s">
        <v>2057</v>
      </c>
      <c r="M533" t="s">
        <v>2058</v>
      </c>
      <c r="N533" t="s">
        <v>2059</v>
      </c>
      <c r="O533" t="s">
        <v>28</v>
      </c>
      <c r="P533">
        <v>6.4</v>
      </c>
      <c r="Q533">
        <v>1.8</v>
      </c>
      <c r="R533">
        <v>7.4999999999999997E-2</v>
      </c>
      <c r="S533">
        <v>52</v>
      </c>
      <c r="T533" t="s">
        <v>29</v>
      </c>
      <c r="U533" t="s">
        <v>24</v>
      </c>
      <c r="V533" t="s">
        <v>24</v>
      </c>
    </row>
    <row r="534" spans="1:22" x14ac:dyDescent="0.25">
      <c r="A534" t="s">
        <v>2060</v>
      </c>
      <c r="B534">
        <v>-4.5792000000000002</v>
      </c>
      <c r="C534">
        <v>125.2265</v>
      </c>
      <c r="D534">
        <v>460.04</v>
      </c>
      <c r="E534">
        <v>4.5999999999999996</v>
      </c>
      <c r="F534" t="s">
        <v>23</v>
      </c>
      <c r="H534">
        <v>43</v>
      </c>
      <c r="I534">
        <v>4.2839999999999998</v>
      </c>
      <c r="J534">
        <v>0.79</v>
      </c>
      <c r="K534" t="s">
        <v>24</v>
      </c>
      <c r="L534" t="s">
        <v>2061</v>
      </c>
      <c r="M534" t="s">
        <v>2062</v>
      </c>
      <c r="N534" t="s">
        <v>37</v>
      </c>
      <c r="O534" t="s">
        <v>28</v>
      </c>
      <c r="P534">
        <v>10.8</v>
      </c>
      <c r="Q534">
        <v>7.3</v>
      </c>
      <c r="R534">
        <v>5.1999999999999998E-2</v>
      </c>
      <c r="S534">
        <v>112</v>
      </c>
      <c r="T534" t="s">
        <v>29</v>
      </c>
      <c r="U534" t="s">
        <v>24</v>
      </c>
      <c r="V534" t="s">
        <v>24</v>
      </c>
    </row>
    <row r="535" spans="1:22" x14ac:dyDescent="0.25">
      <c r="A535" t="s">
        <v>2063</v>
      </c>
      <c r="B535">
        <v>-6.0884999999999998</v>
      </c>
      <c r="C535">
        <v>125.12560000000001</v>
      </c>
      <c r="D535">
        <v>543.52</v>
      </c>
      <c r="E535">
        <v>4.5</v>
      </c>
      <c r="F535" t="s">
        <v>23</v>
      </c>
      <c r="H535">
        <v>41</v>
      </c>
      <c r="I535">
        <v>3.7410000000000001</v>
      </c>
      <c r="J535">
        <v>0.65</v>
      </c>
      <c r="K535" t="s">
        <v>24</v>
      </c>
      <c r="L535" t="s">
        <v>2064</v>
      </c>
      <c r="M535" t="s">
        <v>2065</v>
      </c>
      <c r="N535" t="s">
        <v>2066</v>
      </c>
      <c r="O535" t="s">
        <v>28</v>
      </c>
      <c r="P535">
        <v>10.8</v>
      </c>
      <c r="Q535">
        <v>6.5</v>
      </c>
      <c r="R535">
        <v>6.7000000000000004E-2</v>
      </c>
      <c r="S535">
        <v>66</v>
      </c>
      <c r="T535" t="s">
        <v>29</v>
      </c>
      <c r="U535" t="s">
        <v>24</v>
      </c>
      <c r="V535" t="s">
        <v>24</v>
      </c>
    </row>
    <row r="536" spans="1:22" x14ac:dyDescent="0.25">
      <c r="A536" t="s">
        <v>2067</v>
      </c>
      <c r="B536">
        <v>-7.4858000000000002</v>
      </c>
      <c r="C536">
        <v>121.67140000000001</v>
      </c>
      <c r="D536">
        <v>10</v>
      </c>
      <c r="E536">
        <v>4.5999999999999996</v>
      </c>
      <c r="F536" t="s">
        <v>23</v>
      </c>
      <c r="G536">
        <v>25</v>
      </c>
      <c r="H536">
        <v>92</v>
      </c>
      <c r="I536">
        <v>1.272</v>
      </c>
      <c r="J536">
        <v>0.85</v>
      </c>
      <c r="K536" t="s">
        <v>24</v>
      </c>
      <c r="L536" t="s">
        <v>2068</v>
      </c>
      <c r="M536" t="s">
        <v>2069</v>
      </c>
      <c r="N536" t="s">
        <v>2070</v>
      </c>
      <c r="O536" t="s">
        <v>28</v>
      </c>
      <c r="P536">
        <v>5.4</v>
      </c>
      <c r="Q536">
        <v>1.7</v>
      </c>
      <c r="R536">
        <v>0.157</v>
      </c>
      <c r="S536">
        <v>12</v>
      </c>
      <c r="T536" t="s">
        <v>29</v>
      </c>
      <c r="U536" t="s">
        <v>24</v>
      </c>
      <c r="V536" t="s">
        <v>24</v>
      </c>
    </row>
    <row r="537" spans="1:22" x14ac:dyDescent="0.25">
      <c r="A537" t="s">
        <v>2071</v>
      </c>
      <c r="B537">
        <v>-6.7011000000000003</v>
      </c>
      <c r="C537">
        <v>120.6922</v>
      </c>
      <c r="D537">
        <v>10</v>
      </c>
      <c r="E537">
        <v>4.8</v>
      </c>
      <c r="F537" t="s">
        <v>23</v>
      </c>
      <c r="G537">
        <v>47</v>
      </c>
      <c r="H537">
        <v>52</v>
      </c>
      <c r="I537">
        <v>1.919</v>
      </c>
      <c r="J537">
        <v>0.87</v>
      </c>
      <c r="K537" t="s">
        <v>24</v>
      </c>
      <c r="L537" t="s">
        <v>2072</v>
      </c>
      <c r="M537" t="s">
        <v>2073</v>
      </c>
      <c r="N537" t="s">
        <v>2074</v>
      </c>
      <c r="O537" t="s">
        <v>28</v>
      </c>
      <c r="P537">
        <v>5.6</v>
      </c>
      <c r="Q537">
        <v>1.9</v>
      </c>
      <c r="R537">
        <v>0.10299999999999999</v>
      </c>
      <c r="S537">
        <v>29</v>
      </c>
      <c r="T537" t="s">
        <v>29</v>
      </c>
      <c r="U537" t="s">
        <v>24</v>
      </c>
      <c r="V537" t="s">
        <v>24</v>
      </c>
    </row>
    <row r="538" spans="1:22" x14ac:dyDescent="0.25">
      <c r="A538" t="s">
        <v>2075</v>
      </c>
      <c r="B538">
        <v>-7.3103999999999996</v>
      </c>
      <c r="C538">
        <v>120.14830000000001</v>
      </c>
      <c r="D538">
        <v>562.20000000000005</v>
      </c>
      <c r="E538">
        <v>4.8</v>
      </c>
      <c r="F538" t="s">
        <v>23</v>
      </c>
      <c r="G538">
        <v>111</v>
      </c>
      <c r="H538">
        <v>37</v>
      </c>
      <c r="I538">
        <v>2.3149999999999999</v>
      </c>
      <c r="J538">
        <v>0.79</v>
      </c>
      <c r="K538" t="s">
        <v>24</v>
      </c>
      <c r="L538" t="s">
        <v>2076</v>
      </c>
      <c r="M538" t="s">
        <v>2077</v>
      </c>
      <c r="N538" t="s">
        <v>57</v>
      </c>
      <c r="O538" t="s">
        <v>28</v>
      </c>
      <c r="P538">
        <v>8.9</v>
      </c>
      <c r="Q538">
        <v>5.4</v>
      </c>
      <c r="R538">
        <v>5.0999999999999997E-2</v>
      </c>
      <c r="S538">
        <v>117</v>
      </c>
      <c r="T538" t="s">
        <v>29</v>
      </c>
      <c r="U538" t="s">
        <v>24</v>
      </c>
      <c r="V538" t="s">
        <v>24</v>
      </c>
    </row>
    <row r="539" spans="1:22" x14ac:dyDescent="0.25">
      <c r="A539" t="s">
        <v>2078</v>
      </c>
      <c r="B539">
        <v>-7.1074999999999999</v>
      </c>
      <c r="C539">
        <v>124.706</v>
      </c>
      <c r="D539">
        <v>546.16700000000003</v>
      </c>
      <c r="E539">
        <v>4.5999999999999996</v>
      </c>
      <c r="F539" t="s">
        <v>23</v>
      </c>
      <c r="G539">
        <v>22</v>
      </c>
      <c r="H539">
        <v>71</v>
      </c>
      <c r="I539">
        <v>2.6659999999999999</v>
      </c>
      <c r="J539">
        <v>0.6</v>
      </c>
      <c r="K539" t="s">
        <v>24</v>
      </c>
      <c r="L539" t="s">
        <v>2079</v>
      </c>
      <c r="M539" t="s">
        <v>2080</v>
      </c>
      <c r="N539" t="s">
        <v>1671</v>
      </c>
      <c r="O539" t="s">
        <v>28</v>
      </c>
      <c r="P539">
        <v>10.82</v>
      </c>
      <c r="Q539">
        <v>7.8639999999999999</v>
      </c>
      <c r="R539">
        <v>0.17199999999999999</v>
      </c>
      <c r="S539">
        <v>10</v>
      </c>
      <c r="T539" t="s">
        <v>29</v>
      </c>
      <c r="U539" t="s">
        <v>24</v>
      </c>
      <c r="V539" t="s">
        <v>24</v>
      </c>
    </row>
    <row r="540" spans="1:22" x14ac:dyDescent="0.25">
      <c r="A540" t="s">
        <v>2081</v>
      </c>
      <c r="B540">
        <v>-7.3220999999999998</v>
      </c>
      <c r="C540">
        <v>120.4333</v>
      </c>
      <c r="D540">
        <v>499.8</v>
      </c>
      <c r="E540">
        <v>5.6</v>
      </c>
      <c r="F540" t="s">
        <v>1564</v>
      </c>
      <c r="G540">
        <v>129</v>
      </c>
      <c r="H540">
        <v>40</v>
      </c>
      <c r="I540">
        <v>2.2120000000000002</v>
      </c>
      <c r="J540">
        <v>0.95</v>
      </c>
      <c r="K540" t="s">
        <v>24</v>
      </c>
      <c r="L540" t="s">
        <v>2082</v>
      </c>
      <c r="M540" t="s">
        <v>2083</v>
      </c>
      <c r="N540" t="s">
        <v>1018</v>
      </c>
      <c r="O540" t="s">
        <v>28</v>
      </c>
      <c r="P540">
        <v>7.7</v>
      </c>
      <c r="Q540">
        <v>3.5</v>
      </c>
      <c r="R540">
        <v>5.8999999999999997E-2</v>
      </c>
      <c r="S540">
        <v>28</v>
      </c>
      <c r="T540" t="s">
        <v>29</v>
      </c>
      <c r="U540" t="s">
        <v>24</v>
      </c>
      <c r="V540" t="s">
        <v>24</v>
      </c>
    </row>
    <row r="541" spans="1:22" x14ac:dyDescent="0.25">
      <c r="A541" t="s">
        <v>2084</v>
      </c>
      <c r="B541">
        <v>-6.1524000000000001</v>
      </c>
      <c r="C541">
        <v>122.9868</v>
      </c>
      <c r="D541">
        <v>9.4749999999999996</v>
      </c>
      <c r="E541">
        <v>4.8</v>
      </c>
      <c r="F541" t="s">
        <v>23</v>
      </c>
      <c r="G541">
        <v>61</v>
      </c>
      <c r="H541">
        <v>46</v>
      </c>
      <c r="I541">
        <v>2.577</v>
      </c>
      <c r="J541">
        <v>0.55000000000000004</v>
      </c>
      <c r="K541" t="s">
        <v>24</v>
      </c>
      <c r="L541" t="s">
        <v>2085</v>
      </c>
      <c r="M541" t="s">
        <v>2086</v>
      </c>
      <c r="N541" t="s">
        <v>1056</v>
      </c>
      <c r="O541" t="s">
        <v>28</v>
      </c>
      <c r="P541">
        <v>6.61</v>
      </c>
      <c r="Q541">
        <v>3.9420000000000002</v>
      </c>
      <c r="R541">
        <v>9.6000000000000002E-2</v>
      </c>
      <c r="S541">
        <v>41</v>
      </c>
      <c r="T541" t="s">
        <v>29</v>
      </c>
      <c r="U541" t="s">
        <v>24</v>
      </c>
      <c r="V541" t="s">
        <v>24</v>
      </c>
    </row>
    <row r="542" spans="1:22" x14ac:dyDescent="0.25">
      <c r="A542" t="s">
        <v>2087</v>
      </c>
      <c r="B542">
        <v>-5.5597000000000003</v>
      </c>
      <c r="C542">
        <v>124.8978</v>
      </c>
      <c r="D542">
        <v>10</v>
      </c>
      <c r="E542">
        <v>4.7</v>
      </c>
      <c r="F542" t="s">
        <v>23</v>
      </c>
      <c r="G542">
        <v>33</v>
      </c>
      <c r="H542">
        <v>37</v>
      </c>
      <c r="I542">
        <v>4.0380000000000003</v>
      </c>
      <c r="J542">
        <v>0.28999999999999998</v>
      </c>
      <c r="K542" t="s">
        <v>24</v>
      </c>
      <c r="L542" t="s">
        <v>2088</v>
      </c>
      <c r="M542" t="s">
        <v>2089</v>
      </c>
      <c r="N542" t="s">
        <v>2090</v>
      </c>
      <c r="O542" t="s">
        <v>28</v>
      </c>
      <c r="P542">
        <v>7.48</v>
      </c>
      <c r="Q542">
        <v>1.879</v>
      </c>
      <c r="R542">
        <v>0.127</v>
      </c>
      <c r="S542">
        <v>21</v>
      </c>
      <c r="T542" t="s">
        <v>29</v>
      </c>
      <c r="U542" t="s">
        <v>24</v>
      </c>
      <c r="V542" t="s">
        <v>24</v>
      </c>
    </row>
    <row r="543" spans="1:22" x14ac:dyDescent="0.25">
      <c r="A543" t="s">
        <v>2091</v>
      </c>
      <c r="B543">
        <v>-4.5312000000000001</v>
      </c>
      <c r="C543">
        <v>124.0754</v>
      </c>
      <c r="D543">
        <v>9.8650000000000002</v>
      </c>
      <c r="E543">
        <v>4.7</v>
      </c>
      <c r="F543" t="s">
        <v>23</v>
      </c>
      <c r="G543">
        <v>22</v>
      </c>
      <c r="H543">
        <v>83</v>
      </c>
      <c r="I543">
        <v>3.7029999999999998</v>
      </c>
      <c r="J543">
        <v>0.96</v>
      </c>
      <c r="K543" t="s">
        <v>24</v>
      </c>
      <c r="L543" t="s">
        <v>2092</v>
      </c>
      <c r="M543" t="s">
        <v>2093</v>
      </c>
      <c r="N543" t="s">
        <v>2094</v>
      </c>
      <c r="O543" t="s">
        <v>28</v>
      </c>
      <c r="P543">
        <v>6.9</v>
      </c>
      <c r="Q543">
        <v>4.3929999999999998</v>
      </c>
      <c r="R543">
        <v>0.13800000000000001</v>
      </c>
      <c r="S543">
        <v>16</v>
      </c>
      <c r="T543" t="s">
        <v>29</v>
      </c>
      <c r="U543" t="s">
        <v>24</v>
      </c>
      <c r="V543" t="s">
        <v>24</v>
      </c>
    </row>
    <row r="544" spans="1:22" x14ac:dyDescent="0.25">
      <c r="A544" t="s">
        <v>2095</v>
      </c>
      <c r="B544">
        <v>-7.5004999999999997</v>
      </c>
      <c r="C544">
        <v>121.7427</v>
      </c>
      <c r="D544">
        <v>11.362</v>
      </c>
      <c r="E544">
        <v>4.5</v>
      </c>
      <c r="F544" t="s">
        <v>23</v>
      </c>
      <c r="G544">
        <v>23</v>
      </c>
      <c r="H544">
        <v>111</v>
      </c>
      <c r="I544">
        <v>1.23</v>
      </c>
      <c r="J544">
        <v>0.93</v>
      </c>
      <c r="K544" t="s">
        <v>24</v>
      </c>
      <c r="L544" t="s">
        <v>2096</v>
      </c>
      <c r="M544" t="s">
        <v>2097</v>
      </c>
      <c r="N544" t="s">
        <v>1056</v>
      </c>
      <c r="O544" t="s">
        <v>28</v>
      </c>
      <c r="P544">
        <v>6.28</v>
      </c>
      <c r="Q544">
        <v>4.1230000000000002</v>
      </c>
      <c r="R544">
        <v>0.17</v>
      </c>
      <c r="S544">
        <v>10</v>
      </c>
      <c r="T544" t="s">
        <v>29</v>
      </c>
      <c r="U544" t="s">
        <v>24</v>
      </c>
      <c r="V544" t="s">
        <v>24</v>
      </c>
    </row>
    <row r="545" spans="1:22" x14ac:dyDescent="0.25">
      <c r="A545" t="s">
        <v>2098</v>
      </c>
      <c r="B545">
        <v>-7.2159000000000004</v>
      </c>
      <c r="C545">
        <v>121.23220000000001</v>
      </c>
      <c r="D545">
        <v>10</v>
      </c>
      <c r="E545">
        <v>4.5999999999999996</v>
      </c>
      <c r="F545" t="s">
        <v>23</v>
      </c>
      <c r="G545">
        <v>32</v>
      </c>
      <c r="H545">
        <v>114</v>
      </c>
      <c r="I545">
        <v>1.7270000000000001</v>
      </c>
      <c r="J545">
        <v>1.35</v>
      </c>
      <c r="K545" t="s">
        <v>24</v>
      </c>
      <c r="L545" t="s">
        <v>2099</v>
      </c>
      <c r="M545" t="s">
        <v>2100</v>
      </c>
      <c r="N545" t="s">
        <v>2101</v>
      </c>
      <c r="O545" t="s">
        <v>28</v>
      </c>
      <c r="P545">
        <v>6.76</v>
      </c>
      <c r="Q545">
        <v>1.8560000000000001</v>
      </c>
      <c r="R545">
        <v>0.11899999999999999</v>
      </c>
      <c r="S545">
        <v>21</v>
      </c>
      <c r="T545" t="s">
        <v>29</v>
      </c>
      <c r="U545" t="s">
        <v>24</v>
      </c>
      <c r="V545" t="s">
        <v>24</v>
      </c>
    </row>
    <row r="546" spans="1:22" x14ac:dyDescent="0.25">
      <c r="A546" t="s">
        <v>2102</v>
      </c>
      <c r="B546">
        <v>-7.2348999999999997</v>
      </c>
      <c r="C546">
        <v>119.7709</v>
      </c>
      <c r="D546">
        <v>567.27</v>
      </c>
      <c r="E546">
        <v>4.5</v>
      </c>
      <c r="F546" t="s">
        <v>23</v>
      </c>
      <c r="G546">
        <v>26</v>
      </c>
      <c r="H546">
        <v>74</v>
      </c>
      <c r="I546">
        <v>2.206</v>
      </c>
      <c r="J546">
        <v>1.03</v>
      </c>
      <c r="K546" t="s">
        <v>24</v>
      </c>
      <c r="L546" t="s">
        <v>2103</v>
      </c>
      <c r="M546" t="s">
        <v>2104</v>
      </c>
      <c r="N546" t="s">
        <v>2105</v>
      </c>
      <c r="O546" t="s">
        <v>28</v>
      </c>
      <c r="P546">
        <v>13.41</v>
      </c>
      <c r="Q546">
        <v>10.010999999999999</v>
      </c>
      <c r="R546">
        <v>0.24299999999999999</v>
      </c>
      <c r="S546">
        <v>5</v>
      </c>
      <c r="T546" t="s">
        <v>29</v>
      </c>
      <c r="U546" t="s">
        <v>24</v>
      </c>
      <c r="V546" t="s">
        <v>24</v>
      </c>
    </row>
    <row r="547" spans="1:22" x14ac:dyDescent="0.25">
      <c r="A547" t="s">
        <v>2106</v>
      </c>
      <c r="B547">
        <v>-7.0750999999999999</v>
      </c>
      <c r="C547">
        <v>124.79</v>
      </c>
      <c r="D547">
        <v>543.45299999999997</v>
      </c>
      <c r="E547">
        <v>4.8</v>
      </c>
      <c r="F547" t="s">
        <v>23</v>
      </c>
      <c r="G547">
        <v>107</v>
      </c>
      <c r="H547">
        <v>30</v>
      </c>
      <c r="I547">
        <v>2.7130000000000001</v>
      </c>
      <c r="J547">
        <v>0.65</v>
      </c>
      <c r="K547" t="s">
        <v>24</v>
      </c>
      <c r="L547" t="s">
        <v>2107</v>
      </c>
      <c r="M547" t="s">
        <v>2108</v>
      </c>
      <c r="N547" t="s">
        <v>2109</v>
      </c>
      <c r="O547" t="s">
        <v>28</v>
      </c>
      <c r="P547">
        <v>4.68</v>
      </c>
      <c r="Q547">
        <v>5.8159999999999998</v>
      </c>
      <c r="R547">
        <v>5.1999999999999998E-2</v>
      </c>
      <c r="S547">
        <v>114</v>
      </c>
      <c r="T547" t="s">
        <v>29</v>
      </c>
      <c r="U547" t="s">
        <v>24</v>
      </c>
      <c r="V547" t="s">
        <v>24</v>
      </c>
    </row>
    <row r="548" spans="1:22" x14ac:dyDescent="0.25">
      <c r="A548" t="s">
        <v>2110</v>
      </c>
      <c r="B548">
        <v>-7.1715</v>
      </c>
      <c r="C548">
        <v>122.4614</v>
      </c>
      <c r="D548">
        <v>10.067</v>
      </c>
      <c r="E548">
        <v>4.5</v>
      </c>
      <c r="F548" t="s">
        <v>23</v>
      </c>
      <c r="G548">
        <v>34</v>
      </c>
      <c r="H548">
        <v>106</v>
      </c>
      <c r="I548">
        <v>1.472</v>
      </c>
      <c r="J548">
        <v>0.65</v>
      </c>
      <c r="K548" t="s">
        <v>24</v>
      </c>
      <c r="L548" t="s">
        <v>2111</v>
      </c>
      <c r="M548" t="s">
        <v>2112</v>
      </c>
      <c r="N548" t="s">
        <v>2113</v>
      </c>
      <c r="O548" t="s">
        <v>28</v>
      </c>
      <c r="P548">
        <v>6.62</v>
      </c>
      <c r="Q548">
        <v>2.7959999999999998</v>
      </c>
      <c r="R548">
        <v>0.13500000000000001</v>
      </c>
      <c r="S548">
        <v>18</v>
      </c>
      <c r="T548" t="s">
        <v>29</v>
      </c>
      <c r="U548" t="s">
        <v>24</v>
      </c>
      <c r="V548" t="s">
        <v>24</v>
      </c>
    </row>
    <row r="549" spans="1:22" x14ac:dyDescent="0.25">
      <c r="A549" t="s">
        <v>2114</v>
      </c>
      <c r="B549">
        <v>-7.2201000000000004</v>
      </c>
      <c r="C549">
        <v>120.1721</v>
      </c>
      <c r="D549">
        <v>581.47799999999995</v>
      </c>
      <c r="E549">
        <v>5</v>
      </c>
      <c r="F549" t="s">
        <v>1564</v>
      </c>
      <c r="G549">
        <v>96</v>
      </c>
      <c r="H549">
        <v>35</v>
      </c>
      <c r="I549">
        <v>2.2309999999999999</v>
      </c>
      <c r="J549">
        <v>0.56999999999999995</v>
      </c>
      <c r="K549" t="s">
        <v>24</v>
      </c>
      <c r="L549" t="s">
        <v>2115</v>
      </c>
      <c r="M549" t="s">
        <v>2116</v>
      </c>
      <c r="N549" t="s">
        <v>1056</v>
      </c>
      <c r="O549" t="s">
        <v>28</v>
      </c>
      <c r="P549">
        <v>8.75</v>
      </c>
      <c r="Q549">
        <v>6.0110000000000001</v>
      </c>
      <c r="R549">
        <v>9.2999999999999999E-2</v>
      </c>
      <c r="S549">
        <v>11</v>
      </c>
      <c r="T549" t="s">
        <v>29</v>
      </c>
      <c r="U549" t="s">
        <v>24</v>
      </c>
      <c r="V549" t="s">
        <v>24</v>
      </c>
    </row>
    <row r="550" spans="1:22" x14ac:dyDescent="0.25">
      <c r="A550" t="s">
        <v>2117</v>
      </c>
      <c r="B550">
        <v>-7.2325999999999997</v>
      </c>
      <c r="C550">
        <v>124.5946</v>
      </c>
      <c r="D550">
        <v>556.75599999999997</v>
      </c>
      <c r="E550">
        <v>5.2</v>
      </c>
      <c r="F550" t="s">
        <v>1564</v>
      </c>
      <c r="G550">
        <v>84</v>
      </c>
      <c r="H550">
        <v>39</v>
      </c>
      <c r="I550">
        <v>2.5270000000000001</v>
      </c>
      <c r="J550">
        <v>0.5</v>
      </c>
      <c r="K550" t="s">
        <v>24</v>
      </c>
      <c r="L550" t="s">
        <v>2118</v>
      </c>
      <c r="M550" t="s">
        <v>2119</v>
      </c>
      <c r="N550" t="s">
        <v>2120</v>
      </c>
      <c r="O550" t="s">
        <v>28</v>
      </c>
      <c r="P550">
        <v>10.51</v>
      </c>
      <c r="Q550">
        <v>5.9640000000000004</v>
      </c>
      <c r="R550">
        <v>9.8000000000000004E-2</v>
      </c>
      <c r="S550">
        <v>10</v>
      </c>
      <c r="T550" t="s">
        <v>29</v>
      </c>
      <c r="U550" t="s">
        <v>24</v>
      </c>
      <c r="V550" t="s">
        <v>24</v>
      </c>
    </row>
    <row r="551" spans="1:22" x14ac:dyDescent="0.25">
      <c r="A551" t="s">
        <v>2121</v>
      </c>
      <c r="B551">
        <v>-7.0054999999999996</v>
      </c>
      <c r="C551">
        <v>124.899</v>
      </c>
      <c r="D551">
        <v>552.86900000000003</v>
      </c>
      <c r="E551">
        <v>4.5999999999999996</v>
      </c>
      <c r="F551" t="s">
        <v>23</v>
      </c>
      <c r="G551">
        <v>100</v>
      </c>
      <c r="H551">
        <v>41</v>
      </c>
      <c r="I551">
        <v>2.8029999999999999</v>
      </c>
      <c r="J551">
        <v>0.55000000000000004</v>
      </c>
      <c r="K551" t="s">
        <v>24</v>
      </c>
      <c r="L551" t="s">
        <v>2122</v>
      </c>
      <c r="M551" t="s">
        <v>2123</v>
      </c>
      <c r="N551" t="s">
        <v>2124</v>
      </c>
      <c r="O551" t="s">
        <v>28</v>
      </c>
      <c r="P551">
        <v>10.85</v>
      </c>
      <c r="Q551">
        <v>7.9290000000000003</v>
      </c>
      <c r="R551">
        <v>5.2999999999999999E-2</v>
      </c>
      <c r="S551">
        <v>107</v>
      </c>
      <c r="T551" t="s">
        <v>29</v>
      </c>
      <c r="U551" t="s">
        <v>24</v>
      </c>
      <c r="V551" t="s">
        <v>24</v>
      </c>
    </row>
    <row r="552" spans="1:22" x14ac:dyDescent="0.25">
      <c r="A552" t="s">
        <v>2125</v>
      </c>
      <c r="B552">
        <v>-6.2264999999999997</v>
      </c>
      <c r="C552">
        <v>125.15949999999999</v>
      </c>
      <c r="D552">
        <v>541.10400000000004</v>
      </c>
      <c r="E552">
        <v>4.5</v>
      </c>
      <c r="F552" t="s">
        <v>23</v>
      </c>
      <c r="G552">
        <v>51</v>
      </c>
      <c r="H552">
        <v>66</v>
      </c>
      <c r="I552">
        <v>3.6160000000000001</v>
      </c>
      <c r="J552">
        <v>0.47</v>
      </c>
      <c r="K552" t="s">
        <v>24</v>
      </c>
      <c r="L552" t="s">
        <v>2126</v>
      </c>
      <c r="M552" t="s">
        <v>2127</v>
      </c>
      <c r="N552" t="s">
        <v>2128</v>
      </c>
      <c r="O552" t="s">
        <v>28</v>
      </c>
      <c r="P552">
        <v>11.5</v>
      </c>
      <c r="Q552">
        <v>8.1669999999999998</v>
      </c>
      <c r="R552">
        <v>7.1999999999999995E-2</v>
      </c>
      <c r="S552">
        <v>56</v>
      </c>
      <c r="T552" t="s">
        <v>29</v>
      </c>
      <c r="U552" t="s">
        <v>24</v>
      </c>
      <c r="V552" t="s">
        <v>24</v>
      </c>
    </row>
    <row r="553" spans="1:22" x14ac:dyDescent="0.25">
      <c r="A553" t="s">
        <v>2129</v>
      </c>
      <c r="B553">
        <v>-7.3327999999999998</v>
      </c>
      <c r="C553">
        <v>121.9453</v>
      </c>
      <c r="D553">
        <v>10</v>
      </c>
      <c r="E553">
        <v>5</v>
      </c>
      <c r="F553" t="s">
        <v>1564</v>
      </c>
      <c r="G553">
        <v>109</v>
      </c>
      <c r="H553">
        <v>49</v>
      </c>
      <c r="I553">
        <v>3.1720000000000002</v>
      </c>
      <c r="J553">
        <v>0.55000000000000004</v>
      </c>
      <c r="K553" t="s">
        <v>24</v>
      </c>
      <c r="L553" t="s">
        <v>2130</v>
      </c>
      <c r="M553" t="s">
        <v>2131</v>
      </c>
      <c r="N553" t="s">
        <v>1989</v>
      </c>
      <c r="O553" t="s">
        <v>28</v>
      </c>
      <c r="P553">
        <v>6.64</v>
      </c>
      <c r="Q553">
        <v>1.8260000000000001</v>
      </c>
      <c r="R553">
        <v>9.8000000000000004E-2</v>
      </c>
      <c r="S553">
        <v>10</v>
      </c>
      <c r="T553" t="s">
        <v>29</v>
      </c>
      <c r="U553" t="s">
        <v>24</v>
      </c>
      <c r="V553" t="s">
        <v>24</v>
      </c>
    </row>
    <row r="554" spans="1:22" x14ac:dyDescent="0.25">
      <c r="A554" t="s">
        <v>2132</v>
      </c>
      <c r="B554">
        <v>-7.4131999999999998</v>
      </c>
      <c r="C554">
        <v>120.48869999999999</v>
      </c>
      <c r="D554">
        <v>515.39800000000002</v>
      </c>
      <c r="E554">
        <v>5.2</v>
      </c>
      <c r="F554" t="s">
        <v>1564</v>
      </c>
      <c r="G554">
        <v>141</v>
      </c>
      <c r="H554">
        <v>16</v>
      </c>
      <c r="I554">
        <v>2.4929999999999999</v>
      </c>
      <c r="J554">
        <v>0.56000000000000005</v>
      </c>
      <c r="K554" t="s">
        <v>24</v>
      </c>
      <c r="L554" t="s">
        <v>2133</v>
      </c>
      <c r="M554" t="s">
        <v>2134</v>
      </c>
      <c r="N554" t="s">
        <v>1056</v>
      </c>
      <c r="O554" t="s">
        <v>28</v>
      </c>
      <c r="P554">
        <v>8.94</v>
      </c>
      <c r="Q554">
        <v>4.7759999999999998</v>
      </c>
      <c r="R554">
        <v>7.4999999999999997E-2</v>
      </c>
      <c r="S554">
        <v>17</v>
      </c>
      <c r="T554" t="s">
        <v>29</v>
      </c>
      <c r="U554" t="s">
        <v>24</v>
      </c>
      <c r="V554" t="s">
        <v>24</v>
      </c>
    </row>
    <row r="555" spans="1:22" x14ac:dyDescent="0.25">
      <c r="A555" t="s">
        <v>2135</v>
      </c>
      <c r="B555">
        <v>-6.6600999999999999</v>
      </c>
      <c r="C555">
        <v>125.0518</v>
      </c>
      <c r="D555">
        <v>10.554</v>
      </c>
      <c r="E555">
        <v>4.5</v>
      </c>
      <c r="F555" t="s">
        <v>23</v>
      </c>
      <c r="G555">
        <v>25</v>
      </c>
      <c r="H555">
        <v>147</v>
      </c>
      <c r="I555">
        <v>3.1720000000000002</v>
      </c>
      <c r="J555">
        <v>0.59</v>
      </c>
      <c r="K555" t="s">
        <v>24</v>
      </c>
      <c r="L555" t="s">
        <v>2136</v>
      </c>
      <c r="M555" t="s">
        <v>2137</v>
      </c>
      <c r="N555" t="s">
        <v>2138</v>
      </c>
      <c r="O555" t="s">
        <v>28</v>
      </c>
      <c r="P555">
        <v>10.07</v>
      </c>
      <c r="Q555">
        <v>2.1</v>
      </c>
      <c r="R555">
        <v>0.122</v>
      </c>
      <c r="S555">
        <v>20</v>
      </c>
      <c r="T555" t="s">
        <v>29</v>
      </c>
      <c r="U555" t="s">
        <v>24</v>
      </c>
      <c r="V555" t="s">
        <v>24</v>
      </c>
    </row>
    <row r="556" spans="1:22" x14ac:dyDescent="0.25">
      <c r="A556" t="s">
        <v>2139</v>
      </c>
      <c r="B556">
        <v>-6.2583000000000002</v>
      </c>
      <c r="C556">
        <v>122.64700000000001</v>
      </c>
      <c r="D556">
        <v>10.45</v>
      </c>
      <c r="E556">
        <v>4.5999999999999996</v>
      </c>
      <c r="F556" t="s">
        <v>23</v>
      </c>
      <c r="G556">
        <v>50</v>
      </c>
      <c r="H556">
        <v>49</v>
      </c>
      <c r="I556">
        <v>3.1349999999999998</v>
      </c>
      <c r="J556">
        <v>0.87</v>
      </c>
      <c r="K556" t="s">
        <v>24</v>
      </c>
      <c r="L556" t="s">
        <v>2140</v>
      </c>
      <c r="M556" t="s">
        <v>2141</v>
      </c>
      <c r="N556" t="s">
        <v>2142</v>
      </c>
      <c r="O556" t="s">
        <v>28</v>
      </c>
      <c r="P556">
        <v>7.51</v>
      </c>
      <c r="Q556">
        <v>4.4429999999999996</v>
      </c>
      <c r="R556">
        <v>8.8999999999999996E-2</v>
      </c>
      <c r="S556">
        <v>38</v>
      </c>
      <c r="T556" t="s">
        <v>29</v>
      </c>
      <c r="U556" t="s">
        <v>24</v>
      </c>
      <c r="V556" t="s">
        <v>24</v>
      </c>
    </row>
    <row r="557" spans="1:22" x14ac:dyDescent="0.25">
      <c r="A557" t="s">
        <v>2143</v>
      </c>
      <c r="B557">
        <v>-7.1441999999999997</v>
      </c>
      <c r="C557">
        <v>122.3963</v>
      </c>
      <c r="D557">
        <v>10.353999999999999</v>
      </c>
      <c r="E557">
        <v>4.7</v>
      </c>
      <c r="F557" t="s">
        <v>23</v>
      </c>
      <c r="G557">
        <v>31</v>
      </c>
      <c r="H557">
        <v>56</v>
      </c>
      <c r="I557">
        <v>3.375</v>
      </c>
      <c r="J557">
        <v>1.17</v>
      </c>
      <c r="K557" t="s">
        <v>24</v>
      </c>
      <c r="L557" t="s">
        <v>2144</v>
      </c>
      <c r="M557" t="s">
        <v>2145</v>
      </c>
      <c r="N557" t="s">
        <v>896</v>
      </c>
      <c r="O557" t="s">
        <v>28</v>
      </c>
      <c r="P557">
        <v>7.07</v>
      </c>
      <c r="Q557">
        <v>2.6840000000000002</v>
      </c>
      <c r="R557">
        <v>0.13300000000000001</v>
      </c>
      <c r="S557">
        <v>17</v>
      </c>
      <c r="T557" t="s">
        <v>29</v>
      </c>
      <c r="U557" t="s">
        <v>24</v>
      </c>
      <c r="V557" t="s">
        <v>24</v>
      </c>
    </row>
    <row r="558" spans="1:22" x14ac:dyDescent="0.25">
      <c r="A558" t="s">
        <v>2146</v>
      </c>
      <c r="B558">
        <v>-7.2500999999999998</v>
      </c>
      <c r="C558">
        <v>119.1459</v>
      </c>
      <c r="D558">
        <v>591.21400000000006</v>
      </c>
      <c r="E558">
        <v>4.9000000000000004</v>
      </c>
      <c r="F558" t="s">
        <v>23</v>
      </c>
      <c r="G558">
        <v>94</v>
      </c>
      <c r="H558">
        <v>26</v>
      </c>
      <c r="I558">
        <v>2.073</v>
      </c>
      <c r="J558">
        <v>0.79</v>
      </c>
      <c r="K558" t="s">
        <v>24</v>
      </c>
      <c r="L558" t="s">
        <v>2147</v>
      </c>
      <c r="M558" t="s">
        <v>2148</v>
      </c>
      <c r="N558" t="s">
        <v>789</v>
      </c>
      <c r="O558" t="s">
        <v>28</v>
      </c>
      <c r="P558">
        <v>10.01</v>
      </c>
      <c r="Q558">
        <v>6.0140000000000002</v>
      </c>
      <c r="R558">
        <v>5.3999999999999999E-2</v>
      </c>
      <c r="S558">
        <v>106</v>
      </c>
      <c r="T558" t="s">
        <v>29</v>
      </c>
      <c r="U558" t="s">
        <v>24</v>
      </c>
      <c r="V558" t="s">
        <v>24</v>
      </c>
    </row>
    <row r="559" spans="1:22" x14ac:dyDescent="0.25">
      <c r="A559" t="s">
        <v>2149</v>
      </c>
      <c r="B559">
        <v>-7.0496999999999996</v>
      </c>
      <c r="C559">
        <v>124.9542</v>
      </c>
      <c r="D559">
        <v>503.62599999999998</v>
      </c>
      <c r="E559">
        <v>4.9000000000000004</v>
      </c>
      <c r="F559" t="s">
        <v>23</v>
      </c>
      <c r="G559">
        <v>99</v>
      </c>
      <c r="H559">
        <v>74</v>
      </c>
      <c r="I559">
        <v>2.7730000000000001</v>
      </c>
      <c r="J559">
        <v>0.78</v>
      </c>
      <c r="K559" t="s">
        <v>24</v>
      </c>
      <c r="L559" t="s">
        <v>2150</v>
      </c>
      <c r="M559" t="s">
        <v>2151</v>
      </c>
      <c r="N559" t="s">
        <v>2152</v>
      </c>
      <c r="O559" t="s">
        <v>28</v>
      </c>
      <c r="P559">
        <v>10.82</v>
      </c>
      <c r="Q559">
        <v>4.8170000000000002</v>
      </c>
      <c r="R559">
        <v>5.2999999999999999E-2</v>
      </c>
      <c r="S559">
        <v>111</v>
      </c>
      <c r="T559" t="s">
        <v>29</v>
      </c>
      <c r="U559" t="s">
        <v>24</v>
      </c>
      <c r="V559" t="s">
        <v>24</v>
      </c>
    </row>
    <row r="560" spans="1:22" x14ac:dyDescent="0.25">
      <c r="A560" t="s">
        <v>2153</v>
      </c>
      <c r="B560">
        <v>-7.1935000000000002</v>
      </c>
      <c r="C560">
        <v>121.0887</v>
      </c>
      <c r="D560">
        <v>529.05100000000004</v>
      </c>
      <c r="E560">
        <v>4.8</v>
      </c>
      <c r="F560" t="s">
        <v>23</v>
      </c>
      <c r="G560">
        <v>102</v>
      </c>
      <c r="H560">
        <v>40</v>
      </c>
      <c r="I560">
        <v>2.5409999999999999</v>
      </c>
      <c r="J560">
        <v>0.59</v>
      </c>
      <c r="K560" t="s">
        <v>24</v>
      </c>
      <c r="L560" t="s">
        <v>2154</v>
      </c>
      <c r="M560" t="s">
        <v>2155</v>
      </c>
      <c r="N560" t="s">
        <v>2156</v>
      </c>
      <c r="O560" t="s">
        <v>28</v>
      </c>
      <c r="P560">
        <v>9.43</v>
      </c>
      <c r="Q560">
        <v>6.0810000000000004</v>
      </c>
      <c r="R560">
        <v>4.3999999999999997E-2</v>
      </c>
      <c r="S560">
        <v>158</v>
      </c>
      <c r="T560" t="s">
        <v>29</v>
      </c>
      <c r="U560" t="s">
        <v>24</v>
      </c>
      <c r="V560" t="s">
        <v>24</v>
      </c>
    </row>
    <row r="561" spans="1:22" x14ac:dyDescent="0.25">
      <c r="A561" t="s">
        <v>2157</v>
      </c>
      <c r="B561">
        <v>-6.3924000000000003</v>
      </c>
      <c r="C561">
        <v>124.5354</v>
      </c>
      <c r="D561">
        <v>596.73</v>
      </c>
      <c r="E561">
        <v>4.7</v>
      </c>
      <c r="F561" t="s">
        <v>23</v>
      </c>
      <c r="G561">
        <v>88</v>
      </c>
      <c r="H561">
        <v>30</v>
      </c>
      <c r="I561">
        <v>3.3519999999999999</v>
      </c>
      <c r="J561">
        <v>0.4</v>
      </c>
      <c r="K561" t="s">
        <v>24</v>
      </c>
      <c r="L561" t="s">
        <v>2158</v>
      </c>
      <c r="M561" t="s">
        <v>2159</v>
      </c>
      <c r="N561" t="s">
        <v>2160</v>
      </c>
      <c r="O561" t="s">
        <v>28</v>
      </c>
      <c r="P561">
        <v>10.02</v>
      </c>
      <c r="Q561">
        <v>7.3410000000000002</v>
      </c>
      <c r="R561">
        <v>5.1999999999999998E-2</v>
      </c>
      <c r="S561">
        <v>115</v>
      </c>
      <c r="T561" t="s">
        <v>29</v>
      </c>
      <c r="U561" t="s">
        <v>24</v>
      </c>
      <c r="V561" t="s">
        <v>24</v>
      </c>
    </row>
    <row r="562" spans="1:22" x14ac:dyDescent="0.25">
      <c r="A562" t="s">
        <v>2161</v>
      </c>
      <c r="B562">
        <v>-6.8505000000000003</v>
      </c>
      <c r="C562">
        <v>125.28270000000001</v>
      </c>
      <c r="D562">
        <v>524.85699999999997</v>
      </c>
      <c r="E562">
        <v>4.8</v>
      </c>
      <c r="F562" t="s">
        <v>23</v>
      </c>
      <c r="G562">
        <v>104</v>
      </c>
      <c r="H562">
        <v>37</v>
      </c>
      <c r="I562">
        <v>3.5</v>
      </c>
      <c r="J562">
        <v>0.43</v>
      </c>
      <c r="K562" t="s">
        <v>24</v>
      </c>
      <c r="L562" t="s">
        <v>2162</v>
      </c>
      <c r="M562" t="s">
        <v>2163</v>
      </c>
      <c r="N562" t="s">
        <v>2164</v>
      </c>
      <c r="O562" t="s">
        <v>28</v>
      </c>
      <c r="P562">
        <v>10.55</v>
      </c>
      <c r="Q562">
        <v>1.6719999999999999</v>
      </c>
      <c r="R562">
        <v>6.2E-2</v>
      </c>
      <c r="S562">
        <v>79</v>
      </c>
      <c r="T562" t="s">
        <v>29</v>
      </c>
      <c r="U562" t="s">
        <v>24</v>
      </c>
      <c r="V562" t="s">
        <v>24</v>
      </c>
    </row>
    <row r="563" spans="1:22" x14ac:dyDescent="0.25">
      <c r="A563" t="s">
        <v>2165</v>
      </c>
      <c r="B563">
        <v>-5.9828000000000001</v>
      </c>
      <c r="C563">
        <v>124.89879999999999</v>
      </c>
      <c r="D563">
        <v>576</v>
      </c>
      <c r="E563">
        <v>6.1</v>
      </c>
      <c r="F563" t="s">
        <v>1564</v>
      </c>
      <c r="G563">
        <v>213</v>
      </c>
      <c r="H563">
        <v>23</v>
      </c>
      <c r="I563">
        <v>3.73</v>
      </c>
      <c r="J563">
        <v>0.5</v>
      </c>
      <c r="K563" t="s">
        <v>24</v>
      </c>
      <c r="L563" t="s">
        <v>2166</v>
      </c>
      <c r="M563" t="s">
        <v>2167</v>
      </c>
      <c r="N563" t="s">
        <v>2168</v>
      </c>
      <c r="O563" t="s">
        <v>28</v>
      </c>
      <c r="P563">
        <v>9.16</v>
      </c>
      <c r="Q563">
        <v>1.954</v>
      </c>
      <c r="R563">
        <v>0.04</v>
      </c>
      <c r="S563">
        <v>61</v>
      </c>
      <c r="T563" t="s">
        <v>29</v>
      </c>
      <c r="U563" t="s">
        <v>24</v>
      </c>
      <c r="V563" t="s">
        <v>24</v>
      </c>
    </row>
    <row r="564" spans="1:22" x14ac:dyDescent="0.25">
      <c r="A564" t="s">
        <v>2169</v>
      </c>
      <c r="B564">
        <v>-6.9846000000000004</v>
      </c>
      <c r="C564">
        <v>125.27460000000001</v>
      </c>
      <c r="D564">
        <v>521.68700000000001</v>
      </c>
      <c r="E564">
        <v>4.5999999999999996</v>
      </c>
      <c r="F564" t="s">
        <v>23</v>
      </c>
      <c r="G564">
        <v>55</v>
      </c>
      <c r="H564">
        <v>60</v>
      </c>
      <c r="I564">
        <v>3.427</v>
      </c>
      <c r="J564">
        <v>0.5</v>
      </c>
      <c r="K564" t="s">
        <v>24</v>
      </c>
      <c r="L564" t="s">
        <v>2170</v>
      </c>
      <c r="M564" t="s">
        <v>2171</v>
      </c>
      <c r="N564" t="s">
        <v>2172</v>
      </c>
      <c r="O564" t="s">
        <v>28</v>
      </c>
      <c r="P564">
        <v>9.8699999999999992</v>
      </c>
      <c r="Q564">
        <v>6.6369999999999996</v>
      </c>
      <c r="R564">
        <v>7.1999999999999995E-2</v>
      </c>
      <c r="S564">
        <v>58</v>
      </c>
      <c r="T564" t="s">
        <v>29</v>
      </c>
      <c r="U564" t="s">
        <v>24</v>
      </c>
      <c r="V564" t="s">
        <v>24</v>
      </c>
    </row>
    <row r="565" spans="1:22" x14ac:dyDescent="0.25">
      <c r="A565" t="s">
        <v>2173</v>
      </c>
      <c r="B565">
        <v>-7.2119999999999997</v>
      </c>
      <c r="C565">
        <v>124.51300000000001</v>
      </c>
      <c r="D565">
        <v>511.84300000000002</v>
      </c>
      <c r="E565">
        <v>4.5</v>
      </c>
      <c r="F565" t="s">
        <v>23</v>
      </c>
      <c r="G565">
        <v>62</v>
      </c>
      <c r="H565">
        <v>50</v>
      </c>
      <c r="I565">
        <v>2.661</v>
      </c>
      <c r="J565">
        <v>0.84</v>
      </c>
      <c r="K565" t="s">
        <v>24</v>
      </c>
      <c r="L565" t="s">
        <v>2174</v>
      </c>
      <c r="M565" t="s">
        <v>2175</v>
      </c>
      <c r="N565" t="s">
        <v>479</v>
      </c>
      <c r="O565" t="s">
        <v>28</v>
      </c>
      <c r="P565">
        <v>11.38</v>
      </c>
      <c r="Q565">
        <v>6.6260000000000003</v>
      </c>
      <c r="R565">
        <v>9.7000000000000003E-2</v>
      </c>
      <c r="S565">
        <v>31</v>
      </c>
      <c r="T565" t="s">
        <v>29</v>
      </c>
      <c r="U565" t="s">
        <v>24</v>
      </c>
      <c r="V565" t="s">
        <v>24</v>
      </c>
    </row>
    <row r="566" spans="1:22" x14ac:dyDescent="0.25">
      <c r="A566" t="s">
        <v>2176</v>
      </c>
      <c r="B566">
        <v>-7.1452999999999998</v>
      </c>
      <c r="C566">
        <v>125.1737</v>
      </c>
      <c r="D566">
        <v>488.30599999999998</v>
      </c>
      <c r="E566">
        <v>4.5</v>
      </c>
      <c r="F566" t="s">
        <v>23</v>
      </c>
      <c r="G566">
        <v>32</v>
      </c>
      <c r="H566">
        <v>77</v>
      </c>
      <c r="I566">
        <v>2.7440000000000002</v>
      </c>
      <c r="J566">
        <v>0.61</v>
      </c>
      <c r="K566" t="s">
        <v>24</v>
      </c>
      <c r="L566" t="s">
        <v>2177</v>
      </c>
      <c r="M566" t="s">
        <v>2178</v>
      </c>
      <c r="N566" t="s">
        <v>700</v>
      </c>
      <c r="O566" t="s">
        <v>28</v>
      </c>
      <c r="P566">
        <v>11.28</v>
      </c>
      <c r="Q566">
        <v>8.7989999999999995</v>
      </c>
      <c r="R566">
        <v>9.6000000000000002E-2</v>
      </c>
      <c r="S566">
        <v>32</v>
      </c>
      <c r="T566" t="s">
        <v>29</v>
      </c>
      <c r="U566" t="s">
        <v>24</v>
      </c>
      <c r="V566" t="s">
        <v>24</v>
      </c>
    </row>
    <row r="567" spans="1:22" x14ac:dyDescent="0.25">
      <c r="A567" t="s">
        <v>2179</v>
      </c>
      <c r="B567">
        <v>-7.2922000000000002</v>
      </c>
      <c r="C567">
        <v>120.4614</v>
      </c>
      <c r="D567">
        <v>419.91699999999997</v>
      </c>
      <c r="E567">
        <v>4.9000000000000004</v>
      </c>
      <c r="F567" t="s">
        <v>23</v>
      </c>
      <c r="G567">
        <v>111</v>
      </c>
      <c r="H567">
        <v>39</v>
      </c>
      <c r="I567">
        <v>2.2080000000000002</v>
      </c>
      <c r="J567">
        <v>0.95</v>
      </c>
      <c r="K567" t="s">
        <v>24</v>
      </c>
      <c r="L567" t="s">
        <v>2180</v>
      </c>
      <c r="M567" t="s">
        <v>2181</v>
      </c>
      <c r="N567" t="s">
        <v>599</v>
      </c>
      <c r="O567" t="s">
        <v>28</v>
      </c>
      <c r="P567">
        <v>7.16</v>
      </c>
      <c r="Q567">
        <v>5.0949999999999998</v>
      </c>
      <c r="R567">
        <v>4.7E-2</v>
      </c>
      <c r="S567">
        <v>145</v>
      </c>
      <c r="T567" t="s">
        <v>29</v>
      </c>
      <c r="U567" t="s">
        <v>24</v>
      </c>
      <c r="V567" t="s">
        <v>24</v>
      </c>
    </row>
    <row r="568" spans="1:22" x14ac:dyDescent="0.25">
      <c r="A568" t="s">
        <v>2182</v>
      </c>
      <c r="B568">
        <v>-7.5484</v>
      </c>
      <c r="C568">
        <v>120.00360000000001</v>
      </c>
      <c r="D568">
        <v>607.71400000000006</v>
      </c>
      <c r="E568">
        <v>4.8</v>
      </c>
      <c r="F568" t="s">
        <v>23</v>
      </c>
      <c r="G568">
        <v>125</v>
      </c>
      <c r="H568">
        <v>57</v>
      </c>
      <c r="I568">
        <v>2.1269999999999998</v>
      </c>
      <c r="J568">
        <v>0.66</v>
      </c>
      <c r="K568" t="s">
        <v>24</v>
      </c>
      <c r="L568" t="s">
        <v>2183</v>
      </c>
      <c r="M568" t="s">
        <v>2184</v>
      </c>
      <c r="N568" t="s">
        <v>2185</v>
      </c>
      <c r="O568" t="s">
        <v>28</v>
      </c>
      <c r="P568">
        <v>10.7</v>
      </c>
      <c r="Q568">
        <v>6.4870000000000001</v>
      </c>
      <c r="R568">
        <v>5.3999999999999999E-2</v>
      </c>
      <c r="S568">
        <v>107</v>
      </c>
      <c r="T568" t="s">
        <v>29</v>
      </c>
      <c r="U568" t="s">
        <v>24</v>
      </c>
      <c r="V568" t="s">
        <v>24</v>
      </c>
    </row>
    <row r="569" spans="1:22" x14ac:dyDescent="0.25">
      <c r="A569" t="s">
        <v>2186</v>
      </c>
      <c r="B569">
        <v>-6.9020999999999999</v>
      </c>
      <c r="C569">
        <v>122.0111</v>
      </c>
      <c r="D569">
        <v>10</v>
      </c>
      <c r="E569">
        <v>4.5</v>
      </c>
      <c r="F569" t="s">
        <v>23</v>
      </c>
      <c r="G569">
        <v>26</v>
      </c>
      <c r="H569">
        <v>110</v>
      </c>
      <c r="I569">
        <v>1.7370000000000001</v>
      </c>
      <c r="J569">
        <v>0.72</v>
      </c>
      <c r="K569" t="s">
        <v>24</v>
      </c>
      <c r="L569" t="s">
        <v>2187</v>
      </c>
      <c r="M569" t="s">
        <v>2188</v>
      </c>
      <c r="N569" t="s">
        <v>2189</v>
      </c>
      <c r="O569" t="s">
        <v>28</v>
      </c>
      <c r="P569">
        <v>4.37</v>
      </c>
      <c r="Q569">
        <v>1.833</v>
      </c>
      <c r="R569">
        <v>0.13500000000000001</v>
      </c>
      <c r="S569">
        <v>16</v>
      </c>
      <c r="T569" t="s">
        <v>29</v>
      </c>
      <c r="U569" t="s">
        <v>24</v>
      </c>
      <c r="V569" t="s">
        <v>24</v>
      </c>
    </row>
    <row r="570" spans="1:22" x14ac:dyDescent="0.25">
      <c r="A570" t="s">
        <v>2190</v>
      </c>
      <c r="B570">
        <v>-5.9790000000000001</v>
      </c>
      <c r="C570">
        <v>125.1174</v>
      </c>
      <c r="D570">
        <v>574.61300000000006</v>
      </c>
      <c r="E570">
        <v>4.5</v>
      </c>
      <c r="F570" t="s">
        <v>23</v>
      </c>
      <c r="G570">
        <v>47</v>
      </c>
      <c r="H570">
        <v>61</v>
      </c>
      <c r="I570">
        <v>2.5920000000000001</v>
      </c>
      <c r="J570">
        <v>0.69</v>
      </c>
      <c r="K570" t="s">
        <v>24</v>
      </c>
      <c r="L570" t="s">
        <v>2191</v>
      </c>
      <c r="M570" t="s">
        <v>2192</v>
      </c>
      <c r="N570" t="s">
        <v>2193</v>
      </c>
      <c r="O570" t="s">
        <v>28</v>
      </c>
      <c r="P570">
        <v>12.31</v>
      </c>
      <c r="Q570">
        <v>8.6080000000000005</v>
      </c>
      <c r="R570">
        <v>9.4E-2</v>
      </c>
      <c r="S570">
        <v>39</v>
      </c>
      <c r="T570" t="s">
        <v>29</v>
      </c>
      <c r="U570" t="s">
        <v>24</v>
      </c>
      <c r="V570" t="s">
        <v>24</v>
      </c>
    </row>
    <row r="571" spans="1:22" x14ac:dyDescent="0.25">
      <c r="A571" t="s">
        <v>2194</v>
      </c>
      <c r="B571">
        <v>-7.1593999999999998</v>
      </c>
      <c r="C571">
        <v>124.78660000000001</v>
      </c>
      <c r="D571">
        <v>503.14</v>
      </c>
      <c r="E571">
        <v>4.5</v>
      </c>
      <c r="F571" t="s">
        <v>23</v>
      </c>
      <c r="G571">
        <v>33</v>
      </c>
      <c r="H571">
        <v>40</v>
      </c>
      <c r="I571">
        <v>2.63</v>
      </c>
      <c r="J571">
        <v>0.55000000000000004</v>
      </c>
      <c r="K571" t="s">
        <v>24</v>
      </c>
      <c r="L571" t="s">
        <v>2195</v>
      </c>
      <c r="M571" t="s">
        <v>2196</v>
      </c>
      <c r="N571" t="s">
        <v>1407</v>
      </c>
      <c r="O571" t="s">
        <v>28</v>
      </c>
      <c r="P571">
        <v>11.65</v>
      </c>
      <c r="Q571">
        <v>9.68</v>
      </c>
      <c r="R571">
        <v>9.7000000000000003E-2</v>
      </c>
      <c r="S571">
        <v>31</v>
      </c>
      <c r="T571" t="s">
        <v>29</v>
      </c>
      <c r="U571" t="s">
        <v>24</v>
      </c>
      <c r="V571" t="s">
        <v>24</v>
      </c>
    </row>
    <row r="572" spans="1:22" x14ac:dyDescent="0.25">
      <c r="A572" t="s">
        <v>2197</v>
      </c>
      <c r="B572">
        <v>-5.0130999999999997</v>
      </c>
      <c r="C572">
        <v>123.0162</v>
      </c>
      <c r="D572">
        <v>10</v>
      </c>
      <c r="E572">
        <v>4.5</v>
      </c>
      <c r="F572" t="s">
        <v>23</v>
      </c>
      <c r="G572">
        <v>48</v>
      </c>
      <c r="H572">
        <v>78</v>
      </c>
      <c r="I572">
        <v>0.29199999999999998</v>
      </c>
      <c r="J572">
        <v>0.44</v>
      </c>
      <c r="K572" t="s">
        <v>24</v>
      </c>
      <c r="L572" t="s">
        <v>2198</v>
      </c>
      <c r="M572" t="s">
        <v>2199</v>
      </c>
      <c r="N572" t="s">
        <v>2200</v>
      </c>
      <c r="O572" t="s">
        <v>28</v>
      </c>
      <c r="P572">
        <v>3.79</v>
      </c>
      <c r="Q572">
        <v>1.859</v>
      </c>
      <c r="R572">
        <v>9.9000000000000005E-2</v>
      </c>
      <c r="S572">
        <v>30</v>
      </c>
      <c r="T572" t="s">
        <v>29</v>
      </c>
      <c r="U572" t="s">
        <v>24</v>
      </c>
      <c r="V572" t="s">
        <v>24</v>
      </c>
    </row>
    <row r="573" spans="1:22" x14ac:dyDescent="0.25">
      <c r="A573" t="s">
        <v>2201</v>
      </c>
      <c r="B573">
        <v>-7.1734</v>
      </c>
      <c r="C573">
        <v>120.8051</v>
      </c>
      <c r="D573">
        <v>493.13</v>
      </c>
      <c r="E573">
        <v>4.5999999999999996</v>
      </c>
      <c r="F573" t="s">
        <v>23</v>
      </c>
      <c r="G573">
        <v>166</v>
      </c>
      <c r="H573">
        <v>36</v>
      </c>
      <c r="I573">
        <v>2.0310000000000001</v>
      </c>
      <c r="J573">
        <v>0.53</v>
      </c>
      <c r="K573" t="s">
        <v>24</v>
      </c>
      <c r="L573" t="s">
        <v>2202</v>
      </c>
      <c r="M573" t="s">
        <v>2203</v>
      </c>
      <c r="N573" t="s">
        <v>2204</v>
      </c>
      <c r="O573" t="s">
        <v>28</v>
      </c>
      <c r="P573">
        <v>10.08</v>
      </c>
      <c r="Q573">
        <v>5.569</v>
      </c>
      <c r="R573">
        <v>5.0999999999999997E-2</v>
      </c>
      <c r="S573">
        <v>116</v>
      </c>
      <c r="T573" t="s">
        <v>29</v>
      </c>
      <c r="U573" t="s">
        <v>24</v>
      </c>
      <c r="V573" t="s">
        <v>24</v>
      </c>
    </row>
    <row r="574" spans="1:22" x14ac:dyDescent="0.25">
      <c r="A574" t="s">
        <v>2205</v>
      </c>
      <c r="B574">
        <v>-7.3414999999999999</v>
      </c>
      <c r="C574">
        <v>122.5971</v>
      </c>
      <c r="D574">
        <v>554.54</v>
      </c>
      <c r="E574">
        <v>4.5</v>
      </c>
      <c r="F574" t="s">
        <v>23</v>
      </c>
      <c r="G574">
        <v>33</v>
      </c>
      <c r="H574">
        <v>57</v>
      </c>
      <c r="I574">
        <v>1.3340000000000001</v>
      </c>
      <c r="J574">
        <v>0.8</v>
      </c>
      <c r="K574" t="s">
        <v>24</v>
      </c>
      <c r="L574" t="s">
        <v>2206</v>
      </c>
      <c r="M574" t="s">
        <v>2207</v>
      </c>
      <c r="N574" t="s">
        <v>2208</v>
      </c>
      <c r="O574" t="s">
        <v>28</v>
      </c>
      <c r="P574">
        <v>14.04</v>
      </c>
      <c r="Q574">
        <v>4.2140000000000004</v>
      </c>
      <c r="R574">
        <v>0.15</v>
      </c>
      <c r="S574">
        <v>13</v>
      </c>
      <c r="T574" t="s">
        <v>29</v>
      </c>
      <c r="U574" t="s">
        <v>24</v>
      </c>
      <c r="V574" t="s">
        <v>24</v>
      </c>
    </row>
    <row r="575" spans="1:22" x14ac:dyDescent="0.25">
      <c r="A575" t="s">
        <v>2209</v>
      </c>
      <c r="B575">
        <v>-5.6970000000000001</v>
      </c>
      <c r="C575">
        <v>124.2715</v>
      </c>
      <c r="D575">
        <v>609.23299999999995</v>
      </c>
      <c r="E575">
        <v>5.3</v>
      </c>
      <c r="F575" t="s">
        <v>1564</v>
      </c>
      <c r="G575">
        <v>124</v>
      </c>
      <c r="H575">
        <v>15</v>
      </c>
      <c r="I575">
        <v>3.5489999999999999</v>
      </c>
      <c r="J575">
        <v>0.61</v>
      </c>
      <c r="K575" t="s">
        <v>24</v>
      </c>
      <c r="L575" t="s">
        <v>2210</v>
      </c>
      <c r="M575" t="s">
        <v>2211</v>
      </c>
      <c r="N575" t="s">
        <v>2212</v>
      </c>
      <c r="O575" t="s">
        <v>28</v>
      </c>
      <c r="P575">
        <v>9.82</v>
      </c>
      <c r="Q575">
        <v>5.9390000000000001</v>
      </c>
      <c r="R575">
        <v>0.10299999999999999</v>
      </c>
      <c r="S575">
        <v>9</v>
      </c>
      <c r="T575" t="s">
        <v>29</v>
      </c>
      <c r="U575" t="s">
        <v>24</v>
      </c>
      <c r="V575" t="s">
        <v>24</v>
      </c>
    </row>
    <row r="576" spans="1:22" x14ac:dyDescent="0.25">
      <c r="A576" t="s">
        <v>2213</v>
      </c>
      <c r="B576">
        <v>-6.8616000000000001</v>
      </c>
      <c r="C576">
        <v>125.2616</v>
      </c>
      <c r="D576">
        <v>524.12599999999998</v>
      </c>
      <c r="E576">
        <v>5.4</v>
      </c>
      <c r="F576" t="s">
        <v>1564</v>
      </c>
      <c r="G576">
        <v>191</v>
      </c>
      <c r="H576">
        <v>26</v>
      </c>
      <c r="I576">
        <v>3.0390000000000001</v>
      </c>
      <c r="J576">
        <v>0.69</v>
      </c>
      <c r="K576" t="s">
        <v>24</v>
      </c>
      <c r="L576" t="s">
        <v>2214</v>
      </c>
      <c r="M576" t="s">
        <v>2215</v>
      </c>
      <c r="N576" t="s">
        <v>2216</v>
      </c>
      <c r="O576" t="s">
        <v>28</v>
      </c>
      <c r="P576">
        <v>8.6199999999999992</v>
      </c>
      <c r="Q576">
        <v>4.8250000000000002</v>
      </c>
      <c r="R576">
        <v>6.0999999999999999E-2</v>
      </c>
      <c r="S576">
        <v>26</v>
      </c>
      <c r="T576" t="s">
        <v>29</v>
      </c>
      <c r="U576" t="s">
        <v>24</v>
      </c>
      <c r="V576" t="s">
        <v>24</v>
      </c>
    </row>
    <row r="577" spans="1:22" x14ac:dyDescent="0.25">
      <c r="A577" t="s">
        <v>2217</v>
      </c>
      <c r="B577">
        <v>-4.7491000000000003</v>
      </c>
      <c r="C577">
        <v>122.6104</v>
      </c>
      <c r="D577">
        <v>10</v>
      </c>
      <c r="E577">
        <v>4.5999999999999996</v>
      </c>
      <c r="F577" t="s">
        <v>23</v>
      </c>
      <c r="G577">
        <v>29</v>
      </c>
      <c r="H577">
        <v>93</v>
      </c>
      <c r="I577">
        <v>0.20699999999999999</v>
      </c>
      <c r="J577">
        <v>0.67</v>
      </c>
      <c r="K577" t="s">
        <v>24</v>
      </c>
      <c r="L577" t="s">
        <v>2218</v>
      </c>
      <c r="M577" t="s">
        <v>2219</v>
      </c>
      <c r="N577" t="s">
        <v>2220</v>
      </c>
      <c r="O577" t="s">
        <v>28</v>
      </c>
      <c r="P577">
        <v>5.79</v>
      </c>
      <c r="Q577">
        <v>1.915</v>
      </c>
      <c r="R577">
        <v>0.13200000000000001</v>
      </c>
      <c r="S577">
        <v>17</v>
      </c>
      <c r="T577" t="s">
        <v>29</v>
      </c>
      <c r="U577" t="s">
        <v>24</v>
      </c>
      <c r="V577" t="s">
        <v>24</v>
      </c>
    </row>
    <row r="578" spans="1:22" x14ac:dyDescent="0.25">
      <c r="A578" t="s">
        <v>2221</v>
      </c>
      <c r="B578">
        <v>-7.2375999999999996</v>
      </c>
      <c r="C578">
        <v>122.4153</v>
      </c>
      <c r="D578">
        <v>535.31600000000003</v>
      </c>
      <c r="E578">
        <v>5.0999999999999996</v>
      </c>
      <c r="F578" t="s">
        <v>1564</v>
      </c>
      <c r="G578">
        <v>91</v>
      </c>
      <c r="H578">
        <v>20</v>
      </c>
      <c r="I578">
        <v>3.1</v>
      </c>
      <c r="J578">
        <v>0.57999999999999996</v>
      </c>
      <c r="K578" t="s">
        <v>24</v>
      </c>
      <c r="L578" t="s">
        <v>2222</v>
      </c>
      <c r="M578" t="s">
        <v>2223</v>
      </c>
      <c r="N578" t="s">
        <v>209</v>
      </c>
      <c r="O578" t="s">
        <v>28</v>
      </c>
      <c r="P578">
        <v>7.19</v>
      </c>
      <c r="Q578">
        <v>6.0279999999999996</v>
      </c>
      <c r="R578">
        <v>0.10299999999999999</v>
      </c>
      <c r="S578">
        <v>9</v>
      </c>
      <c r="T578" t="s">
        <v>29</v>
      </c>
      <c r="U578" t="s">
        <v>24</v>
      </c>
      <c r="V578" t="s">
        <v>24</v>
      </c>
    </row>
    <row r="579" spans="1:22" x14ac:dyDescent="0.25">
      <c r="A579" t="s">
        <v>2224</v>
      </c>
      <c r="B579">
        <v>-7.2499000000000002</v>
      </c>
      <c r="C579">
        <v>120.2784</v>
      </c>
      <c r="D579">
        <v>577.94600000000003</v>
      </c>
      <c r="E579">
        <v>4.5999999999999996</v>
      </c>
      <c r="F579" t="s">
        <v>23</v>
      </c>
      <c r="G579">
        <v>52</v>
      </c>
      <c r="H579">
        <v>47</v>
      </c>
      <c r="I579">
        <v>2.282</v>
      </c>
      <c r="J579">
        <v>1.07</v>
      </c>
      <c r="K579" t="s">
        <v>24</v>
      </c>
      <c r="L579" t="s">
        <v>2225</v>
      </c>
      <c r="M579" t="s">
        <v>2226</v>
      </c>
      <c r="N579" t="s">
        <v>27</v>
      </c>
      <c r="O579" t="s">
        <v>28</v>
      </c>
      <c r="P579">
        <v>11.14</v>
      </c>
      <c r="Q579">
        <v>8.9329999999999998</v>
      </c>
      <c r="R579">
        <v>0.104</v>
      </c>
      <c r="S579">
        <v>28</v>
      </c>
      <c r="T579" t="s">
        <v>29</v>
      </c>
      <c r="U579" t="s">
        <v>24</v>
      </c>
      <c r="V579" t="s">
        <v>24</v>
      </c>
    </row>
    <row r="580" spans="1:22" x14ac:dyDescent="0.25">
      <c r="A580" t="s">
        <v>2227</v>
      </c>
      <c r="B580">
        <v>-6.7723000000000004</v>
      </c>
      <c r="C580">
        <v>121.8347</v>
      </c>
      <c r="D580">
        <v>10</v>
      </c>
      <c r="E580">
        <v>4.7</v>
      </c>
      <c r="F580" t="s">
        <v>23</v>
      </c>
      <c r="G580">
        <v>34</v>
      </c>
      <c r="H580">
        <v>78</v>
      </c>
      <c r="I580">
        <v>2.0579999999999998</v>
      </c>
      <c r="J580">
        <v>0.93</v>
      </c>
      <c r="K580" t="s">
        <v>24</v>
      </c>
      <c r="L580" t="s">
        <v>2228</v>
      </c>
      <c r="M580" t="s">
        <v>2229</v>
      </c>
      <c r="N580" t="s">
        <v>2230</v>
      </c>
      <c r="O580" t="s">
        <v>28</v>
      </c>
      <c r="P580">
        <v>6.33</v>
      </c>
      <c r="Q580">
        <v>1.9</v>
      </c>
      <c r="R580">
        <v>0.111</v>
      </c>
      <c r="S580">
        <v>26</v>
      </c>
      <c r="T580" t="s">
        <v>29</v>
      </c>
      <c r="U580" t="s">
        <v>24</v>
      </c>
      <c r="V580" t="s">
        <v>24</v>
      </c>
    </row>
    <row r="581" spans="1:22" x14ac:dyDescent="0.25">
      <c r="A581" t="s">
        <v>2231</v>
      </c>
      <c r="B581">
        <v>-6.7732999999999999</v>
      </c>
      <c r="C581">
        <v>125.1587</v>
      </c>
      <c r="D581">
        <v>526.40899999999999</v>
      </c>
      <c r="E581">
        <v>4.5</v>
      </c>
      <c r="F581" t="s">
        <v>23</v>
      </c>
      <c r="G581">
        <v>60</v>
      </c>
      <c r="H581">
        <v>41</v>
      </c>
      <c r="I581">
        <v>3.0910000000000002</v>
      </c>
      <c r="J581">
        <v>0.72</v>
      </c>
      <c r="K581" t="s">
        <v>24</v>
      </c>
      <c r="L581" t="s">
        <v>2232</v>
      </c>
      <c r="M581" t="s">
        <v>2233</v>
      </c>
      <c r="N581" t="s">
        <v>2234</v>
      </c>
      <c r="O581" t="s">
        <v>28</v>
      </c>
      <c r="P581">
        <v>10.71</v>
      </c>
      <c r="Q581">
        <v>4.5359999999999996</v>
      </c>
      <c r="R581">
        <v>7.6999999999999999E-2</v>
      </c>
      <c r="S581">
        <v>50</v>
      </c>
      <c r="T581" t="s">
        <v>29</v>
      </c>
      <c r="U581" t="s">
        <v>24</v>
      </c>
      <c r="V581" t="s">
        <v>24</v>
      </c>
    </row>
    <row r="582" spans="1:22" x14ac:dyDescent="0.25">
      <c r="A582" t="s">
        <v>2235</v>
      </c>
      <c r="B582">
        <v>-7.2687999999999997</v>
      </c>
      <c r="C582">
        <v>120.358</v>
      </c>
      <c r="D582">
        <v>541.44000000000005</v>
      </c>
      <c r="E582">
        <v>4.5999999999999996</v>
      </c>
      <c r="F582" t="s">
        <v>23</v>
      </c>
      <c r="G582">
        <v>55</v>
      </c>
      <c r="H582">
        <v>72</v>
      </c>
      <c r="I582">
        <v>2.319</v>
      </c>
      <c r="J582">
        <v>0.62</v>
      </c>
      <c r="K582" t="s">
        <v>24</v>
      </c>
      <c r="L582" t="s">
        <v>2236</v>
      </c>
      <c r="M582" t="s">
        <v>2237</v>
      </c>
      <c r="N582" t="s">
        <v>1833</v>
      </c>
      <c r="O582" t="s">
        <v>28</v>
      </c>
      <c r="P582">
        <v>10.82</v>
      </c>
      <c r="Q582">
        <v>8.0790000000000006</v>
      </c>
      <c r="R582">
        <v>7.9000000000000001E-2</v>
      </c>
      <c r="S582">
        <v>48</v>
      </c>
      <c r="T582" t="s">
        <v>29</v>
      </c>
      <c r="U582" t="s">
        <v>24</v>
      </c>
      <c r="V582" t="s">
        <v>24</v>
      </c>
    </row>
    <row r="583" spans="1:22" x14ac:dyDescent="0.25">
      <c r="A583" t="s">
        <v>2238</v>
      </c>
      <c r="B583">
        <v>-7.5026000000000002</v>
      </c>
      <c r="C583">
        <v>122.8627</v>
      </c>
      <c r="D583">
        <v>539.82899999999995</v>
      </c>
      <c r="E583">
        <v>4.5</v>
      </c>
      <c r="F583" t="s">
        <v>23</v>
      </c>
      <c r="G583">
        <v>80</v>
      </c>
      <c r="H583">
        <v>67</v>
      </c>
      <c r="I583">
        <v>2.6339999999999999</v>
      </c>
      <c r="J583">
        <v>0.64</v>
      </c>
      <c r="K583" t="s">
        <v>24</v>
      </c>
      <c r="L583" t="s">
        <v>2239</v>
      </c>
      <c r="M583" t="s">
        <v>2240</v>
      </c>
      <c r="N583" t="s">
        <v>2241</v>
      </c>
      <c r="O583" t="s">
        <v>28</v>
      </c>
      <c r="P583">
        <v>10.61</v>
      </c>
      <c r="Q583">
        <v>7.54</v>
      </c>
      <c r="R583">
        <v>7.1999999999999995E-2</v>
      </c>
      <c r="S583">
        <v>57</v>
      </c>
      <c r="T583" t="s">
        <v>29</v>
      </c>
      <c r="U583" t="s">
        <v>24</v>
      </c>
      <c r="V583" t="s">
        <v>24</v>
      </c>
    </row>
    <row r="584" spans="1:22" x14ac:dyDescent="0.25">
      <c r="A584" t="s">
        <v>2242</v>
      </c>
      <c r="B584">
        <v>-7.5415000000000001</v>
      </c>
      <c r="C584">
        <v>120.5903</v>
      </c>
      <c r="D584">
        <v>10</v>
      </c>
      <c r="E584">
        <v>4.5</v>
      </c>
      <c r="F584" t="s">
        <v>23</v>
      </c>
      <c r="G584">
        <v>19</v>
      </c>
      <c r="H584">
        <v>82</v>
      </c>
      <c r="I584">
        <v>2.645</v>
      </c>
      <c r="J584">
        <v>0.93</v>
      </c>
      <c r="K584" t="s">
        <v>24</v>
      </c>
      <c r="L584" t="s">
        <v>2243</v>
      </c>
      <c r="M584" t="s">
        <v>2244</v>
      </c>
      <c r="N584" t="s">
        <v>2245</v>
      </c>
      <c r="O584" t="s">
        <v>28</v>
      </c>
      <c r="P584">
        <v>7.24</v>
      </c>
      <c r="Q584">
        <v>1.921</v>
      </c>
      <c r="R584">
        <v>0.14000000000000001</v>
      </c>
      <c r="S584">
        <v>15</v>
      </c>
      <c r="T584" t="s">
        <v>29</v>
      </c>
      <c r="U584" t="s">
        <v>24</v>
      </c>
      <c r="V584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735DDA-2238-40CC-9A69-CD777FC266BA}">
  <dimension ref="A1:L268"/>
  <sheetViews>
    <sheetView workbookViewId="0">
      <selection activeCell="B1" sqref="B1:H1048576"/>
    </sheetView>
  </sheetViews>
  <sheetFormatPr defaultRowHeight="13.8" x14ac:dyDescent="0.25"/>
  <cols>
    <col min="1" max="1" width="24.19921875" customWidth="1"/>
    <col min="2" max="3" width="11" customWidth="1"/>
    <col min="10" max="10" width="10.09765625" customWidth="1"/>
    <col min="11" max="12" width="12.19921875" customWidth="1"/>
  </cols>
  <sheetData>
    <row r="1" spans="1:12" x14ac:dyDescent="0.25">
      <c r="A1" t="s">
        <v>0</v>
      </c>
      <c r="B1" t="s">
        <v>2768</v>
      </c>
      <c r="C1" t="s">
        <v>2809</v>
      </c>
      <c r="D1" t="s">
        <v>1</v>
      </c>
      <c r="E1" t="s">
        <v>2</v>
      </c>
      <c r="F1" t="s">
        <v>3</v>
      </c>
      <c r="G1" t="s">
        <v>4</v>
      </c>
      <c r="H1" t="s">
        <v>4</v>
      </c>
      <c r="J1" s="4" t="s">
        <v>2810</v>
      </c>
      <c r="K1" s="4" t="s">
        <v>2818</v>
      </c>
      <c r="L1" s="4" t="s">
        <v>2811</v>
      </c>
    </row>
    <row r="2" spans="1:12" x14ac:dyDescent="0.25">
      <c r="A2" t="s">
        <v>22</v>
      </c>
      <c r="B2" t="str">
        <f>LEFT(A2,4)</f>
        <v>1973</v>
      </c>
      <c r="C2" t="str">
        <f>MID(A2,6,2)</f>
        <v>06</v>
      </c>
      <c r="D2">
        <v>-7.2910000000000004</v>
      </c>
      <c r="E2">
        <v>120.38500000000001</v>
      </c>
      <c r="F2">
        <v>631</v>
      </c>
      <c r="G2">
        <v>5.8</v>
      </c>
      <c r="H2">
        <v>5.8</v>
      </c>
      <c r="J2" s="3" t="s">
        <v>2812</v>
      </c>
      <c r="K2" s="1">
        <f>COUNTIFS($H$2:H$268,"&gt;=2.5",$H$2:H$268,"&lt;5.0")</f>
        <v>137</v>
      </c>
      <c r="L2" s="5">
        <f>(K2/$K$8)*100</f>
        <v>51.310861423220977</v>
      </c>
    </row>
    <row r="3" spans="1:12" x14ac:dyDescent="0.25">
      <c r="A3" t="s">
        <v>30</v>
      </c>
      <c r="B3" t="str">
        <f t="shared" ref="B3:B66" si="0">LEFT(A3,4)</f>
        <v>1973</v>
      </c>
      <c r="C3" t="str">
        <f t="shared" ref="C3:C66" si="1">MID(A3,6,2)</f>
        <v>07</v>
      </c>
      <c r="D3">
        <v>-7.4630000000000001</v>
      </c>
      <c r="E3">
        <v>122.11799999999999</v>
      </c>
      <c r="F3">
        <v>392</v>
      </c>
      <c r="G3">
        <v>5.4</v>
      </c>
      <c r="H3">
        <v>5.4</v>
      </c>
      <c r="J3" s="3" t="s">
        <v>2813</v>
      </c>
      <c r="K3" s="1">
        <f>COUNTIFS($H$2:H$268,"&gt;=5.0",$H$2:H$268,"&lt;6.0")</f>
        <v>120</v>
      </c>
      <c r="L3" s="5">
        <f t="shared" ref="L3:L7" si="2">(K3/$K$8)*100</f>
        <v>44.943820224719097</v>
      </c>
    </row>
    <row r="4" spans="1:12" x14ac:dyDescent="0.25">
      <c r="A4" t="s">
        <v>34</v>
      </c>
      <c r="B4" t="str">
        <f t="shared" si="0"/>
        <v>1973</v>
      </c>
      <c r="C4" t="str">
        <f t="shared" si="1"/>
        <v>11</v>
      </c>
      <c r="D4">
        <v>-6.0289999999999999</v>
      </c>
      <c r="E4">
        <v>124.68600000000001</v>
      </c>
      <c r="F4">
        <v>605</v>
      </c>
      <c r="G4">
        <v>5.5</v>
      </c>
      <c r="H4">
        <v>5.5</v>
      </c>
      <c r="J4" s="3" t="s">
        <v>2814</v>
      </c>
      <c r="K4" s="1">
        <f>COUNTIFS($H$2:H$268,"&gt;=6.0",$H$2:H$268,"&lt;7.0")</f>
        <v>8</v>
      </c>
      <c r="L4" s="5">
        <f t="shared" si="2"/>
        <v>2.9962546816479403</v>
      </c>
    </row>
    <row r="5" spans="1:12" x14ac:dyDescent="0.25">
      <c r="A5" t="s">
        <v>38</v>
      </c>
      <c r="B5" t="str">
        <f t="shared" si="0"/>
        <v>1974</v>
      </c>
      <c r="C5" t="str">
        <f t="shared" si="1"/>
        <v>01</v>
      </c>
      <c r="D5">
        <v>-7.0359999999999996</v>
      </c>
      <c r="E5">
        <v>124.749</v>
      </c>
      <c r="F5">
        <v>545</v>
      </c>
      <c r="G5">
        <v>5.3</v>
      </c>
      <c r="H5">
        <v>5.3</v>
      </c>
      <c r="J5" s="3" t="s">
        <v>2815</v>
      </c>
      <c r="K5" s="1">
        <f>COUNTIFS($H$2:H$268,"&gt;=7.0",$H$2:H$268,"&lt;8.0")</f>
        <v>2</v>
      </c>
      <c r="L5" s="5">
        <f t="shared" si="2"/>
        <v>0.74906367041198507</v>
      </c>
    </row>
    <row r="6" spans="1:12" x14ac:dyDescent="0.25">
      <c r="A6" t="s">
        <v>42</v>
      </c>
      <c r="B6" t="str">
        <f t="shared" si="0"/>
        <v>1974</v>
      </c>
      <c r="C6" t="str">
        <f t="shared" si="1"/>
        <v>02</v>
      </c>
      <c r="D6">
        <v>-7.3449999999999998</v>
      </c>
      <c r="E6">
        <v>120.251</v>
      </c>
      <c r="F6">
        <v>582</v>
      </c>
      <c r="G6">
        <v>5.0999999999999996</v>
      </c>
      <c r="H6">
        <v>5.0999999999999996</v>
      </c>
      <c r="J6" s="3" t="s">
        <v>2816</v>
      </c>
      <c r="K6" s="1">
        <f>COUNTIFS($H$2:H$268,"&gt;=8.0",$H$2:H$268,"&lt;9.0")</f>
        <v>0</v>
      </c>
      <c r="L6" s="5">
        <f t="shared" si="2"/>
        <v>0</v>
      </c>
    </row>
    <row r="7" spans="1:12" x14ac:dyDescent="0.25">
      <c r="A7" t="s">
        <v>46</v>
      </c>
      <c r="B7" t="str">
        <f t="shared" si="0"/>
        <v>1974</v>
      </c>
      <c r="C7" t="str">
        <f t="shared" si="1"/>
        <v>09</v>
      </c>
      <c r="D7">
        <v>-7.24</v>
      </c>
      <c r="E7">
        <v>120.21599999999999</v>
      </c>
      <c r="F7">
        <v>390</v>
      </c>
      <c r="G7">
        <v>5.4</v>
      </c>
      <c r="H7">
        <v>5.4</v>
      </c>
      <c r="J7" s="3" t="s">
        <v>2817</v>
      </c>
      <c r="K7" s="1">
        <f>COUNTIFS($H$2:H$268,"&gt;=9.0")</f>
        <v>0</v>
      </c>
      <c r="L7" s="5">
        <f t="shared" si="2"/>
        <v>0</v>
      </c>
    </row>
    <row r="8" spans="1:12" x14ac:dyDescent="0.25">
      <c r="A8" t="s">
        <v>50</v>
      </c>
      <c r="B8" t="str">
        <f t="shared" si="0"/>
        <v>1974</v>
      </c>
      <c r="C8" t="str">
        <f t="shared" si="1"/>
        <v>10</v>
      </c>
      <c r="D8">
        <v>-7.3109999999999999</v>
      </c>
      <c r="E8">
        <v>120.548</v>
      </c>
      <c r="F8">
        <v>618</v>
      </c>
      <c r="G8">
        <v>4.8</v>
      </c>
      <c r="H8">
        <v>4.8</v>
      </c>
      <c r="J8" s="3"/>
      <c r="K8">
        <f>SUM(K2:K7)</f>
        <v>267</v>
      </c>
      <c r="L8" s="1"/>
    </row>
    <row r="9" spans="1:12" x14ac:dyDescent="0.25">
      <c r="A9" t="s">
        <v>54</v>
      </c>
      <c r="B9" t="str">
        <f t="shared" si="0"/>
        <v>1975</v>
      </c>
      <c r="C9" t="str">
        <f t="shared" si="1"/>
        <v>01</v>
      </c>
      <c r="D9">
        <v>-7.3090000000000002</v>
      </c>
      <c r="E9">
        <v>120.17</v>
      </c>
      <c r="F9">
        <v>627</v>
      </c>
      <c r="G9">
        <v>5.3</v>
      </c>
      <c r="H9">
        <v>5.3</v>
      </c>
    </row>
    <row r="10" spans="1:12" x14ac:dyDescent="0.25">
      <c r="A10" t="s">
        <v>58</v>
      </c>
      <c r="B10" t="str">
        <f t="shared" si="0"/>
        <v>1975</v>
      </c>
      <c r="C10" t="str">
        <f t="shared" si="1"/>
        <v>03</v>
      </c>
      <c r="D10">
        <v>-6.9569999999999999</v>
      </c>
      <c r="E10">
        <v>124.616</v>
      </c>
      <c r="F10">
        <v>538</v>
      </c>
      <c r="G10">
        <v>5</v>
      </c>
      <c r="H10">
        <v>5</v>
      </c>
    </row>
    <row r="11" spans="1:12" x14ac:dyDescent="0.25">
      <c r="A11" t="s">
        <v>62</v>
      </c>
      <c r="B11" t="str">
        <f t="shared" si="0"/>
        <v>1975</v>
      </c>
      <c r="C11" t="str">
        <f t="shared" si="1"/>
        <v>07</v>
      </c>
      <c r="D11">
        <v>-7.2320000000000002</v>
      </c>
      <c r="E11">
        <v>120.44799999999999</v>
      </c>
      <c r="F11">
        <v>604</v>
      </c>
      <c r="G11">
        <v>4.7</v>
      </c>
      <c r="H11">
        <v>4.7</v>
      </c>
    </row>
    <row r="12" spans="1:12" x14ac:dyDescent="0.25">
      <c r="A12" t="s">
        <v>66</v>
      </c>
      <c r="B12" t="str">
        <f t="shared" si="0"/>
        <v>1975</v>
      </c>
      <c r="C12" t="str">
        <f t="shared" si="1"/>
        <v>07</v>
      </c>
      <c r="D12">
        <v>-7.2510000000000003</v>
      </c>
      <c r="E12">
        <v>120.499</v>
      </c>
      <c r="F12">
        <v>637</v>
      </c>
      <c r="G12">
        <v>5</v>
      </c>
      <c r="H12">
        <v>5</v>
      </c>
    </row>
    <row r="13" spans="1:12" x14ac:dyDescent="0.25">
      <c r="A13" t="s">
        <v>70</v>
      </c>
      <c r="B13" t="str">
        <f t="shared" si="0"/>
        <v>1975</v>
      </c>
      <c r="C13" t="str">
        <f t="shared" si="1"/>
        <v>09</v>
      </c>
      <c r="D13">
        <v>-7.5549999999999997</v>
      </c>
      <c r="E13">
        <v>120.283</v>
      </c>
      <c r="F13">
        <v>367</v>
      </c>
      <c r="G13">
        <v>5.0999999999999996</v>
      </c>
      <c r="H13">
        <v>5.0999999999999996</v>
      </c>
    </row>
    <row r="14" spans="1:12" x14ac:dyDescent="0.25">
      <c r="A14" t="s">
        <v>74</v>
      </c>
      <c r="B14" t="str">
        <f t="shared" si="0"/>
        <v>1975</v>
      </c>
      <c r="C14" t="str">
        <f t="shared" si="1"/>
        <v>10</v>
      </c>
      <c r="D14">
        <v>-7.5209999999999999</v>
      </c>
      <c r="E14">
        <v>124.64700000000001</v>
      </c>
      <c r="F14">
        <v>359</v>
      </c>
      <c r="G14">
        <v>5.2</v>
      </c>
      <c r="H14">
        <v>5.2</v>
      </c>
    </row>
    <row r="15" spans="1:12" x14ac:dyDescent="0.25">
      <c r="A15" t="s">
        <v>78</v>
      </c>
      <c r="B15" t="str">
        <f t="shared" si="0"/>
        <v>1975</v>
      </c>
      <c r="C15" t="str">
        <f t="shared" si="1"/>
        <v>10</v>
      </c>
      <c r="D15">
        <v>-7.4470000000000001</v>
      </c>
      <c r="E15">
        <v>125.254</v>
      </c>
      <c r="F15">
        <v>50</v>
      </c>
      <c r="G15">
        <v>4.8</v>
      </c>
      <c r="H15">
        <v>4.8</v>
      </c>
    </row>
    <row r="16" spans="1:12" x14ac:dyDescent="0.25">
      <c r="A16" t="s">
        <v>82</v>
      </c>
      <c r="B16" t="str">
        <f t="shared" si="0"/>
        <v>1975</v>
      </c>
      <c r="C16" t="str">
        <f t="shared" si="1"/>
        <v>11</v>
      </c>
      <c r="D16">
        <v>-6.5330000000000004</v>
      </c>
      <c r="E16">
        <v>124.742</v>
      </c>
      <c r="F16">
        <v>606</v>
      </c>
      <c r="G16">
        <v>5</v>
      </c>
      <c r="H16">
        <v>5</v>
      </c>
    </row>
    <row r="17" spans="1:8" x14ac:dyDescent="0.25">
      <c r="A17" t="s">
        <v>86</v>
      </c>
      <c r="B17" t="str">
        <f t="shared" si="0"/>
        <v>1975</v>
      </c>
      <c r="C17" t="str">
        <f t="shared" si="1"/>
        <v>12</v>
      </c>
      <c r="D17">
        <v>-6.2850000000000001</v>
      </c>
      <c r="E17">
        <v>124.755</v>
      </c>
      <c r="F17">
        <v>576</v>
      </c>
      <c r="G17">
        <v>5.7</v>
      </c>
      <c r="H17">
        <v>5.7</v>
      </c>
    </row>
    <row r="18" spans="1:8" x14ac:dyDescent="0.25">
      <c r="A18" t="s">
        <v>90</v>
      </c>
      <c r="B18" t="str">
        <f t="shared" si="0"/>
        <v>1976</v>
      </c>
      <c r="C18" t="str">
        <f t="shared" si="1"/>
        <v>01</v>
      </c>
      <c r="D18">
        <v>-7.4779999999999998</v>
      </c>
      <c r="E18">
        <v>119.905</v>
      </c>
      <c r="F18">
        <v>614</v>
      </c>
      <c r="G18">
        <v>6.4</v>
      </c>
      <c r="H18">
        <v>6.4</v>
      </c>
    </row>
    <row r="19" spans="1:8" x14ac:dyDescent="0.25">
      <c r="A19" t="s">
        <v>94</v>
      </c>
      <c r="B19" t="str">
        <f t="shared" si="0"/>
        <v>1976</v>
      </c>
      <c r="C19" t="str">
        <f t="shared" si="1"/>
        <v>02</v>
      </c>
      <c r="D19">
        <v>-7.0590000000000002</v>
      </c>
      <c r="E19">
        <v>123.74299999999999</v>
      </c>
      <c r="F19">
        <v>611</v>
      </c>
      <c r="G19">
        <v>5.2</v>
      </c>
      <c r="H19">
        <v>5.2</v>
      </c>
    </row>
    <row r="20" spans="1:8" x14ac:dyDescent="0.25">
      <c r="A20" t="s">
        <v>98</v>
      </c>
      <c r="B20" t="str">
        <f t="shared" si="0"/>
        <v>1976</v>
      </c>
      <c r="C20" t="str">
        <f t="shared" si="1"/>
        <v>06</v>
      </c>
      <c r="D20">
        <v>-5.1890000000000001</v>
      </c>
      <c r="E20">
        <v>125.23099999999999</v>
      </c>
      <c r="F20">
        <v>33</v>
      </c>
      <c r="G20">
        <v>5.0999999999999996</v>
      </c>
      <c r="H20">
        <v>5.0999999999999996</v>
      </c>
    </row>
    <row r="21" spans="1:8" x14ac:dyDescent="0.25">
      <c r="A21" t="s">
        <v>101</v>
      </c>
      <c r="B21" t="str">
        <f t="shared" si="0"/>
        <v>1976</v>
      </c>
      <c r="C21" t="str">
        <f t="shared" si="1"/>
        <v>12</v>
      </c>
      <c r="D21">
        <v>-7.0789999999999997</v>
      </c>
      <c r="E21">
        <v>123.815</v>
      </c>
      <c r="F21">
        <v>596</v>
      </c>
      <c r="G21">
        <v>4.7</v>
      </c>
      <c r="H21">
        <v>4.7</v>
      </c>
    </row>
    <row r="22" spans="1:8" x14ac:dyDescent="0.25">
      <c r="A22" t="s">
        <v>105</v>
      </c>
      <c r="B22" t="str">
        <f t="shared" si="0"/>
        <v>1977</v>
      </c>
      <c r="C22" t="str">
        <f t="shared" si="1"/>
        <v>04</v>
      </c>
      <c r="D22">
        <v>-7.27</v>
      </c>
      <c r="E22">
        <v>120.306</v>
      </c>
      <c r="F22">
        <v>562</v>
      </c>
      <c r="G22">
        <v>4.5</v>
      </c>
      <c r="H22">
        <v>4.5</v>
      </c>
    </row>
    <row r="23" spans="1:8" x14ac:dyDescent="0.25">
      <c r="A23" t="s">
        <v>108</v>
      </c>
      <c r="B23" t="str">
        <f t="shared" si="0"/>
        <v>1977</v>
      </c>
      <c r="C23" t="str">
        <f t="shared" si="1"/>
        <v>06</v>
      </c>
      <c r="D23">
        <v>-7.0549999999999997</v>
      </c>
      <c r="E23">
        <v>125.205</v>
      </c>
      <c r="F23">
        <v>522</v>
      </c>
      <c r="G23">
        <v>4.8</v>
      </c>
      <c r="H23">
        <v>4.8</v>
      </c>
    </row>
    <row r="24" spans="1:8" x14ac:dyDescent="0.25">
      <c r="A24" t="s">
        <v>112</v>
      </c>
      <c r="B24" t="str">
        <f t="shared" si="0"/>
        <v>1977</v>
      </c>
      <c r="C24" t="str">
        <f t="shared" si="1"/>
        <v>06</v>
      </c>
      <c r="D24">
        <v>-5.9820000000000002</v>
      </c>
      <c r="E24">
        <v>123.645</v>
      </c>
      <c r="F24">
        <v>43</v>
      </c>
      <c r="G24">
        <v>5</v>
      </c>
      <c r="H24">
        <v>5</v>
      </c>
    </row>
    <row r="25" spans="1:8" x14ac:dyDescent="0.25">
      <c r="A25" t="s">
        <v>116</v>
      </c>
      <c r="B25" t="str">
        <f t="shared" si="0"/>
        <v>1977</v>
      </c>
      <c r="C25" t="str">
        <f t="shared" si="1"/>
        <v>06</v>
      </c>
      <c r="D25">
        <v>-6.0549999999999997</v>
      </c>
      <c r="E25">
        <v>123.69</v>
      </c>
      <c r="F25">
        <v>24</v>
      </c>
      <c r="G25">
        <v>5.0999999999999996</v>
      </c>
      <c r="H25">
        <v>5.0999999999999996</v>
      </c>
    </row>
    <row r="26" spans="1:8" x14ac:dyDescent="0.25">
      <c r="A26" t="s">
        <v>120</v>
      </c>
      <c r="B26" t="str">
        <f t="shared" si="0"/>
        <v>1977</v>
      </c>
      <c r="C26" t="str">
        <f t="shared" si="1"/>
        <v>12</v>
      </c>
      <c r="D26">
        <v>-6.069</v>
      </c>
      <c r="E26">
        <v>125.18300000000001</v>
      </c>
      <c r="F26">
        <v>548</v>
      </c>
      <c r="G26">
        <v>4.8</v>
      </c>
      <c r="H26">
        <v>4.8</v>
      </c>
    </row>
    <row r="27" spans="1:8" x14ac:dyDescent="0.25">
      <c r="A27" t="s">
        <v>124</v>
      </c>
      <c r="B27" t="str">
        <f t="shared" si="0"/>
        <v>1978</v>
      </c>
      <c r="C27" t="str">
        <f t="shared" si="1"/>
        <v>02</v>
      </c>
      <c r="D27">
        <v>-4.9459999999999997</v>
      </c>
      <c r="E27">
        <v>125.247</v>
      </c>
      <c r="F27">
        <v>535</v>
      </c>
      <c r="G27">
        <v>5.9</v>
      </c>
      <c r="H27">
        <v>5.9</v>
      </c>
    </row>
    <row r="28" spans="1:8" x14ac:dyDescent="0.25">
      <c r="A28" t="s">
        <v>127</v>
      </c>
      <c r="B28" t="str">
        <f t="shared" si="0"/>
        <v>1978</v>
      </c>
      <c r="C28" t="str">
        <f t="shared" si="1"/>
        <v>02</v>
      </c>
      <c r="D28">
        <v>-4.9950000000000001</v>
      </c>
      <c r="E28">
        <v>125.23</v>
      </c>
      <c r="F28">
        <v>531</v>
      </c>
      <c r="G28">
        <v>5.6</v>
      </c>
      <c r="H28">
        <v>5.6</v>
      </c>
    </row>
    <row r="29" spans="1:8" x14ac:dyDescent="0.25">
      <c r="A29" t="s">
        <v>130</v>
      </c>
      <c r="B29" t="str">
        <f t="shared" si="0"/>
        <v>1978</v>
      </c>
      <c r="C29" t="str">
        <f t="shared" si="1"/>
        <v>03</v>
      </c>
      <c r="D29">
        <v>-7.08</v>
      </c>
      <c r="E29">
        <v>123.256</v>
      </c>
      <c r="F29">
        <v>556</v>
      </c>
      <c r="G29">
        <v>5</v>
      </c>
      <c r="H29">
        <v>5</v>
      </c>
    </row>
    <row r="30" spans="1:8" x14ac:dyDescent="0.25">
      <c r="A30" t="s">
        <v>134</v>
      </c>
      <c r="B30" t="str">
        <f t="shared" si="0"/>
        <v>1978</v>
      </c>
      <c r="C30" t="str">
        <f t="shared" si="1"/>
        <v>06</v>
      </c>
      <c r="D30">
        <v>-7.125</v>
      </c>
      <c r="E30">
        <v>123.815</v>
      </c>
      <c r="F30">
        <v>583</v>
      </c>
      <c r="G30">
        <v>4.9000000000000004</v>
      </c>
      <c r="H30">
        <v>4.9000000000000004</v>
      </c>
    </row>
    <row r="31" spans="1:8" x14ac:dyDescent="0.25">
      <c r="A31" t="s">
        <v>138</v>
      </c>
      <c r="B31" t="str">
        <f t="shared" si="0"/>
        <v>1978</v>
      </c>
      <c r="C31" t="str">
        <f t="shared" si="1"/>
        <v>06</v>
      </c>
      <c r="D31">
        <v>-6.8529999999999998</v>
      </c>
      <c r="E31">
        <v>123.456</v>
      </c>
      <c r="F31">
        <v>646</v>
      </c>
      <c r="G31">
        <v>4.9000000000000004</v>
      </c>
      <c r="H31">
        <v>4.9000000000000004</v>
      </c>
    </row>
    <row r="32" spans="1:8" x14ac:dyDescent="0.25">
      <c r="A32" t="s">
        <v>142</v>
      </c>
      <c r="B32" t="str">
        <f t="shared" si="0"/>
        <v>1978</v>
      </c>
      <c r="C32" t="str">
        <f t="shared" si="1"/>
        <v>10</v>
      </c>
      <c r="D32">
        <v>-6.0810000000000004</v>
      </c>
      <c r="E32">
        <v>122.914</v>
      </c>
      <c r="F32">
        <v>56</v>
      </c>
      <c r="G32">
        <v>5.4</v>
      </c>
      <c r="H32">
        <v>5.4</v>
      </c>
    </row>
    <row r="33" spans="1:8" x14ac:dyDescent="0.25">
      <c r="A33" t="s">
        <v>146</v>
      </c>
      <c r="B33" t="str">
        <f t="shared" si="0"/>
        <v>1979</v>
      </c>
      <c r="C33" t="str">
        <f t="shared" si="1"/>
        <v>01</v>
      </c>
      <c r="D33">
        <v>-7.29</v>
      </c>
      <c r="E33">
        <v>123.15</v>
      </c>
      <c r="F33">
        <v>578</v>
      </c>
      <c r="G33">
        <v>5.3</v>
      </c>
      <c r="H33">
        <v>5.3</v>
      </c>
    </row>
    <row r="34" spans="1:8" x14ac:dyDescent="0.25">
      <c r="A34" t="s">
        <v>150</v>
      </c>
      <c r="B34" t="str">
        <f t="shared" si="0"/>
        <v>1979</v>
      </c>
      <c r="C34" t="str">
        <f t="shared" si="1"/>
        <v>01</v>
      </c>
      <c r="D34">
        <v>-7.1929999999999996</v>
      </c>
      <c r="E34">
        <v>120.051</v>
      </c>
      <c r="F34">
        <v>557</v>
      </c>
      <c r="G34">
        <v>5.4</v>
      </c>
      <c r="H34">
        <v>5.4</v>
      </c>
    </row>
    <row r="35" spans="1:8" x14ac:dyDescent="0.25">
      <c r="A35" t="s">
        <v>154</v>
      </c>
      <c r="B35" t="str">
        <f t="shared" si="0"/>
        <v>1979</v>
      </c>
      <c r="C35" t="str">
        <f t="shared" si="1"/>
        <v>05</v>
      </c>
      <c r="D35">
        <v>-6.8490000000000002</v>
      </c>
      <c r="E35">
        <v>125.244</v>
      </c>
      <c r="F35">
        <v>529</v>
      </c>
      <c r="G35">
        <v>5</v>
      </c>
      <c r="H35">
        <v>5</v>
      </c>
    </row>
    <row r="36" spans="1:8" x14ac:dyDescent="0.25">
      <c r="A36" t="s">
        <v>158</v>
      </c>
      <c r="B36" t="str">
        <f t="shared" si="0"/>
        <v>1979</v>
      </c>
      <c r="C36" t="str">
        <f t="shared" si="1"/>
        <v>06</v>
      </c>
      <c r="D36">
        <v>-7.0149999999999997</v>
      </c>
      <c r="E36">
        <v>123.381</v>
      </c>
      <c r="F36">
        <v>642</v>
      </c>
      <c r="G36">
        <v>5.2</v>
      </c>
      <c r="H36">
        <v>5.2</v>
      </c>
    </row>
    <row r="37" spans="1:8" x14ac:dyDescent="0.25">
      <c r="A37" t="s">
        <v>162</v>
      </c>
      <c r="B37" t="str">
        <f t="shared" si="0"/>
        <v>1979</v>
      </c>
      <c r="C37" t="str">
        <f t="shared" si="1"/>
        <v>08</v>
      </c>
      <c r="D37">
        <v>-5.7629999999999999</v>
      </c>
      <c r="E37">
        <v>122.76300000000001</v>
      </c>
      <c r="F37">
        <v>66</v>
      </c>
      <c r="G37">
        <v>4.7</v>
      </c>
      <c r="H37">
        <v>4.7</v>
      </c>
    </row>
    <row r="38" spans="1:8" x14ac:dyDescent="0.25">
      <c r="A38" t="s">
        <v>166</v>
      </c>
      <c r="B38" t="str">
        <f t="shared" si="0"/>
        <v>1979</v>
      </c>
      <c r="C38" t="str">
        <f t="shared" si="1"/>
        <v>08</v>
      </c>
      <c r="D38">
        <v>-6.1449999999999996</v>
      </c>
      <c r="E38">
        <v>124.89700000000001</v>
      </c>
      <c r="F38">
        <v>615</v>
      </c>
      <c r="G38">
        <v>5.2</v>
      </c>
      <c r="H38">
        <v>5.2</v>
      </c>
    </row>
    <row r="39" spans="1:8" x14ac:dyDescent="0.25">
      <c r="A39" t="s">
        <v>170</v>
      </c>
      <c r="B39" t="str">
        <f t="shared" si="0"/>
        <v>1979</v>
      </c>
      <c r="C39" t="str">
        <f t="shared" si="1"/>
        <v>11</v>
      </c>
      <c r="D39">
        <v>-6.8810000000000002</v>
      </c>
      <c r="E39">
        <v>124.94</v>
      </c>
      <c r="F39">
        <v>555</v>
      </c>
      <c r="G39">
        <v>4.9000000000000004</v>
      </c>
      <c r="H39">
        <v>4.9000000000000004</v>
      </c>
    </row>
    <row r="40" spans="1:8" x14ac:dyDescent="0.25">
      <c r="A40" t="s">
        <v>174</v>
      </c>
      <c r="B40" t="str">
        <f t="shared" si="0"/>
        <v>1979</v>
      </c>
      <c r="C40" t="str">
        <f t="shared" si="1"/>
        <v>12</v>
      </c>
      <c r="D40">
        <v>-7.21</v>
      </c>
      <c r="E40">
        <v>120.309</v>
      </c>
      <c r="F40">
        <v>567</v>
      </c>
      <c r="G40">
        <v>4.8</v>
      </c>
      <c r="H40">
        <v>4.8</v>
      </c>
    </row>
    <row r="41" spans="1:8" x14ac:dyDescent="0.25">
      <c r="A41" t="s">
        <v>178</v>
      </c>
      <c r="B41" t="str">
        <f t="shared" si="0"/>
        <v>1980</v>
      </c>
      <c r="C41" t="str">
        <f t="shared" si="1"/>
        <v>01</v>
      </c>
      <c r="D41">
        <v>-7.1829999999999998</v>
      </c>
      <c r="E41">
        <v>123.092</v>
      </c>
      <c r="F41">
        <v>616</v>
      </c>
      <c r="G41">
        <v>4.5</v>
      </c>
      <c r="H41">
        <v>4.5</v>
      </c>
    </row>
    <row r="42" spans="1:8" x14ac:dyDescent="0.25">
      <c r="A42" t="s">
        <v>182</v>
      </c>
      <c r="B42" t="str">
        <f t="shared" si="0"/>
        <v>1980</v>
      </c>
      <c r="C42" t="str">
        <f t="shared" si="1"/>
        <v>05</v>
      </c>
      <c r="D42">
        <v>-7.3719999999999999</v>
      </c>
      <c r="E42">
        <v>120.40900000000001</v>
      </c>
      <c r="F42">
        <v>600</v>
      </c>
      <c r="G42">
        <v>5</v>
      </c>
      <c r="H42">
        <v>5</v>
      </c>
    </row>
    <row r="43" spans="1:8" x14ac:dyDescent="0.25">
      <c r="A43" t="s">
        <v>186</v>
      </c>
      <c r="B43" t="str">
        <f t="shared" si="0"/>
        <v>1980</v>
      </c>
      <c r="C43" t="str">
        <f t="shared" si="1"/>
        <v>06</v>
      </c>
      <c r="D43">
        <v>-6.8650000000000002</v>
      </c>
      <c r="E43">
        <v>124.858</v>
      </c>
      <c r="F43">
        <v>573</v>
      </c>
      <c r="G43">
        <v>4.9000000000000004</v>
      </c>
      <c r="H43">
        <v>4.9000000000000004</v>
      </c>
    </row>
    <row r="44" spans="1:8" x14ac:dyDescent="0.25">
      <c r="A44" t="s">
        <v>190</v>
      </c>
      <c r="B44" t="str">
        <f t="shared" si="0"/>
        <v>1980</v>
      </c>
      <c r="C44" t="str">
        <f t="shared" si="1"/>
        <v>06</v>
      </c>
      <c r="D44">
        <v>-7.5</v>
      </c>
      <c r="E44">
        <v>122.14700000000001</v>
      </c>
      <c r="F44">
        <v>170</v>
      </c>
      <c r="G44">
        <v>4.5</v>
      </c>
      <c r="H44">
        <v>4.5</v>
      </c>
    </row>
    <row r="45" spans="1:8" x14ac:dyDescent="0.25">
      <c r="A45" t="s">
        <v>194</v>
      </c>
      <c r="B45" t="str">
        <f t="shared" si="0"/>
        <v>1980</v>
      </c>
      <c r="C45" t="str">
        <f t="shared" si="1"/>
        <v>08</v>
      </c>
      <c r="D45">
        <v>-7.1040000000000001</v>
      </c>
      <c r="E45">
        <v>124.973</v>
      </c>
      <c r="F45">
        <v>558</v>
      </c>
      <c r="G45">
        <v>5</v>
      </c>
      <c r="H45">
        <v>5</v>
      </c>
    </row>
    <row r="46" spans="1:8" x14ac:dyDescent="0.25">
      <c r="A46" t="s">
        <v>198</v>
      </c>
      <c r="B46" t="str">
        <f t="shared" si="0"/>
        <v>1980</v>
      </c>
      <c r="C46" t="str">
        <f t="shared" si="1"/>
        <v>09</v>
      </c>
      <c r="D46">
        <v>-7.327</v>
      </c>
      <c r="E46">
        <v>122.211</v>
      </c>
      <c r="F46">
        <v>632</v>
      </c>
      <c r="G46">
        <v>4.8</v>
      </c>
      <c r="H46">
        <v>4.8</v>
      </c>
    </row>
    <row r="47" spans="1:8" x14ac:dyDescent="0.25">
      <c r="A47" t="s">
        <v>202</v>
      </c>
      <c r="B47" t="str">
        <f t="shared" si="0"/>
        <v>1980</v>
      </c>
      <c r="C47" t="str">
        <f t="shared" si="1"/>
        <v>09</v>
      </c>
      <c r="D47">
        <v>-7.2149999999999999</v>
      </c>
      <c r="E47">
        <v>124.788</v>
      </c>
      <c r="F47">
        <v>514</v>
      </c>
      <c r="G47">
        <v>5.0999999999999996</v>
      </c>
      <c r="H47">
        <v>5.0999999999999996</v>
      </c>
    </row>
    <row r="48" spans="1:8" x14ac:dyDescent="0.25">
      <c r="A48" t="s">
        <v>206</v>
      </c>
      <c r="B48" t="str">
        <f t="shared" si="0"/>
        <v>1980</v>
      </c>
      <c r="C48" t="str">
        <f t="shared" si="1"/>
        <v>10</v>
      </c>
      <c r="D48">
        <v>-7.2249999999999996</v>
      </c>
      <c r="E48">
        <v>122.10299999999999</v>
      </c>
      <c r="F48">
        <v>517</v>
      </c>
      <c r="G48">
        <v>4.9000000000000004</v>
      </c>
      <c r="H48">
        <v>4.9000000000000004</v>
      </c>
    </row>
    <row r="49" spans="1:8" x14ac:dyDescent="0.25">
      <c r="A49" t="s">
        <v>210</v>
      </c>
      <c r="B49" t="str">
        <f t="shared" si="0"/>
        <v>1980</v>
      </c>
      <c r="C49" t="str">
        <f t="shared" si="1"/>
        <v>12</v>
      </c>
      <c r="D49">
        <v>-7.2990000000000004</v>
      </c>
      <c r="E49">
        <v>123.191</v>
      </c>
      <c r="F49">
        <v>592</v>
      </c>
      <c r="G49">
        <v>5.2</v>
      </c>
      <c r="H49">
        <v>5.2</v>
      </c>
    </row>
    <row r="50" spans="1:8" x14ac:dyDescent="0.25">
      <c r="A50" t="s">
        <v>214</v>
      </c>
      <c r="B50" t="str">
        <f t="shared" si="0"/>
        <v>1980</v>
      </c>
      <c r="C50" t="str">
        <f t="shared" si="1"/>
        <v>12</v>
      </c>
      <c r="D50">
        <v>-7.1989999999999998</v>
      </c>
      <c r="E50">
        <v>124.753</v>
      </c>
      <c r="F50">
        <v>508</v>
      </c>
      <c r="G50">
        <v>4.9000000000000004</v>
      </c>
      <c r="H50">
        <v>4.9000000000000004</v>
      </c>
    </row>
    <row r="51" spans="1:8" x14ac:dyDescent="0.25">
      <c r="A51" t="s">
        <v>218</v>
      </c>
      <c r="B51" t="str">
        <f t="shared" si="0"/>
        <v>1981</v>
      </c>
      <c r="C51" t="str">
        <f t="shared" si="1"/>
        <v>04</v>
      </c>
      <c r="D51">
        <v>-7.2030000000000003</v>
      </c>
      <c r="E51">
        <v>120.336</v>
      </c>
      <c r="F51">
        <v>593.70000000000005</v>
      </c>
      <c r="G51">
        <v>4.5999999999999996</v>
      </c>
      <c r="H51">
        <v>4.5999999999999996</v>
      </c>
    </row>
    <row r="52" spans="1:8" x14ac:dyDescent="0.25">
      <c r="A52" t="s">
        <v>222</v>
      </c>
      <c r="B52" t="str">
        <f t="shared" si="0"/>
        <v>1981</v>
      </c>
      <c r="C52" t="str">
        <f t="shared" si="1"/>
        <v>06</v>
      </c>
      <c r="D52">
        <v>-6.9470000000000001</v>
      </c>
      <c r="E52">
        <v>123.22499999999999</v>
      </c>
      <c r="F52">
        <v>648.4</v>
      </c>
      <c r="G52">
        <v>5.0999999999999996</v>
      </c>
      <c r="H52">
        <v>5.0999999999999996</v>
      </c>
    </row>
    <row r="53" spans="1:8" x14ac:dyDescent="0.25">
      <c r="A53" t="s">
        <v>226</v>
      </c>
      <c r="B53" t="str">
        <f t="shared" si="0"/>
        <v>1981</v>
      </c>
      <c r="C53" t="str">
        <f t="shared" si="1"/>
        <v>07</v>
      </c>
      <c r="D53">
        <v>-7.4790000000000001</v>
      </c>
      <c r="E53">
        <v>120.211</v>
      </c>
      <c r="F53">
        <v>556.79999999999995</v>
      </c>
      <c r="G53">
        <v>4.9000000000000004</v>
      </c>
      <c r="H53">
        <v>4.9000000000000004</v>
      </c>
    </row>
    <row r="54" spans="1:8" x14ac:dyDescent="0.25">
      <c r="A54" t="s">
        <v>230</v>
      </c>
      <c r="B54" t="str">
        <f t="shared" si="0"/>
        <v>1981</v>
      </c>
      <c r="C54" t="str">
        <f t="shared" si="1"/>
        <v>10</v>
      </c>
      <c r="D54">
        <v>-7.0469999999999997</v>
      </c>
      <c r="E54">
        <v>125.22</v>
      </c>
      <c r="F54">
        <v>529.4</v>
      </c>
      <c r="G54">
        <v>5.0999999999999996</v>
      </c>
      <c r="H54">
        <v>5.0999999999999996</v>
      </c>
    </row>
    <row r="55" spans="1:8" x14ac:dyDescent="0.25">
      <c r="A55" t="s">
        <v>233</v>
      </c>
      <c r="B55" t="str">
        <f t="shared" si="0"/>
        <v>1982</v>
      </c>
      <c r="C55" t="str">
        <f t="shared" si="1"/>
        <v>03</v>
      </c>
      <c r="D55">
        <v>-7.2910000000000004</v>
      </c>
      <c r="E55">
        <v>120.31</v>
      </c>
      <c r="F55">
        <v>572.5</v>
      </c>
      <c r="G55">
        <v>5.5</v>
      </c>
      <c r="H55">
        <v>5.5</v>
      </c>
    </row>
    <row r="56" spans="1:8" x14ac:dyDescent="0.25">
      <c r="A56" t="s">
        <v>237</v>
      </c>
      <c r="B56" t="str">
        <f t="shared" si="0"/>
        <v>1982</v>
      </c>
      <c r="C56" t="str">
        <f t="shared" si="1"/>
        <v>04</v>
      </c>
      <c r="D56">
        <v>-7.242</v>
      </c>
      <c r="E56">
        <v>123.066</v>
      </c>
      <c r="F56">
        <v>555.29999999999995</v>
      </c>
      <c r="G56">
        <v>4.8</v>
      </c>
      <c r="H56">
        <v>4.8</v>
      </c>
    </row>
    <row r="57" spans="1:8" x14ac:dyDescent="0.25">
      <c r="A57" t="s">
        <v>241</v>
      </c>
      <c r="B57" t="str">
        <f t="shared" si="0"/>
        <v>1982</v>
      </c>
      <c r="C57" t="str">
        <f t="shared" si="1"/>
        <v>05</v>
      </c>
      <c r="D57">
        <v>-7.3789999999999996</v>
      </c>
      <c r="E57">
        <v>123.749</v>
      </c>
      <c r="F57">
        <v>570.79999999999995</v>
      </c>
      <c r="G57">
        <v>5.3</v>
      </c>
      <c r="H57">
        <v>5.3</v>
      </c>
    </row>
    <row r="58" spans="1:8" x14ac:dyDescent="0.25">
      <c r="A58" t="s">
        <v>245</v>
      </c>
      <c r="B58" t="str">
        <f t="shared" si="0"/>
        <v>1982</v>
      </c>
      <c r="C58" t="str">
        <f t="shared" si="1"/>
        <v>05</v>
      </c>
      <c r="D58">
        <v>-6.6159999999999997</v>
      </c>
      <c r="E58">
        <v>123.34699999999999</v>
      </c>
      <c r="F58">
        <v>223.2</v>
      </c>
      <c r="G58">
        <v>5</v>
      </c>
      <c r="H58">
        <v>5</v>
      </c>
    </row>
    <row r="59" spans="1:8" x14ac:dyDescent="0.25">
      <c r="A59" t="s">
        <v>249</v>
      </c>
      <c r="B59" t="str">
        <f t="shared" si="0"/>
        <v>1982</v>
      </c>
      <c r="C59" t="str">
        <f t="shared" si="1"/>
        <v>05</v>
      </c>
      <c r="D59">
        <v>-7.0949999999999998</v>
      </c>
      <c r="E59">
        <v>123.785</v>
      </c>
      <c r="F59">
        <v>594.70000000000005</v>
      </c>
      <c r="G59">
        <v>5.0999999999999996</v>
      </c>
      <c r="H59">
        <v>5.0999999999999996</v>
      </c>
    </row>
    <row r="60" spans="1:8" x14ac:dyDescent="0.25">
      <c r="A60" t="s">
        <v>253</v>
      </c>
      <c r="B60" t="str">
        <f t="shared" si="0"/>
        <v>1982</v>
      </c>
      <c r="C60" t="str">
        <f t="shared" si="1"/>
        <v>08</v>
      </c>
      <c r="D60">
        <v>-7.4039999999999999</v>
      </c>
      <c r="E60">
        <v>120.30200000000001</v>
      </c>
      <c r="F60">
        <v>569.79999999999995</v>
      </c>
      <c r="G60">
        <v>5.2</v>
      </c>
      <c r="H60">
        <v>5.2</v>
      </c>
    </row>
    <row r="61" spans="1:8" x14ac:dyDescent="0.25">
      <c r="A61" t="s">
        <v>257</v>
      </c>
      <c r="B61" t="str">
        <f t="shared" si="0"/>
        <v>1982</v>
      </c>
      <c r="C61" t="str">
        <f t="shared" si="1"/>
        <v>12</v>
      </c>
      <c r="D61">
        <v>-6.827</v>
      </c>
      <c r="E61">
        <v>125.134</v>
      </c>
      <c r="F61">
        <v>557</v>
      </c>
      <c r="G61">
        <v>4.7</v>
      </c>
      <c r="H61">
        <v>4.7</v>
      </c>
    </row>
    <row r="62" spans="1:8" x14ac:dyDescent="0.25">
      <c r="A62" t="s">
        <v>261</v>
      </c>
      <c r="B62" t="str">
        <f t="shared" si="0"/>
        <v>1982</v>
      </c>
      <c r="C62" t="str">
        <f t="shared" si="1"/>
        <v>12</v>
      </c>
      <c r="D62">
        <v>-7.2009999999999996</v>
      </c>
      <c r="E62">
        <v>120.358</v>
      </c>
      <c r="F62">
        <v>33</v>
      </c>
      <c r="G62">
        <v>4.8</v>
      </c>
      <c r="H62">
        <v>4.8</v>
      </c>
    </row>
    <row r="63" spans="1:8" x14ac:dyDescent="0.25">
      <c r="A63" t="s">
        <v>265</v>
      </c>
      <c r="B63" t="str">
        <f t="shared" si="0"/>
        <v>1983</v>
      </c>
      <c r="C63" t="str">
        <f t="shared" si="1"/>
        <v>02</v>
      </c>
      <c r="D63">
        <v>-7.2910000000000004</v>
      </c>
      <c r="E63">
        <v>124.759</v>
      </c>
      <c r="F63">
        <v>524</v>
      </c>
      <c r="G63">
        <v>4.5999999999999996</v>
      </c>
      <c r="H63">
        <v>4.5999999999999996</v>
      </c>
    </row>
    <row r="64" spans="1:8" x14ac:dyDescent="0.25">
      <c r="A64" t="s">
        <v>269</v>
      </c>
      <c r="B64" t="str">
        <f t="shared" si="0"/>
        <v>1983</v>
      </c>
      <c r="C64" t="str">
        <f t="shared" si="1"/>
        <v>04</v>
      </c>
      <c r="D64">
        <v>-7.3220000000000001</v>
      </c>
      <c r="E64">
        <v>119.70699999999999</v>
      </c>
      <c r="F64">
        <v>575.29999999999995</v>
      </c>
      <c r="G64">
        <v>5</v>
      </c>
      <c r="H64">
        <v>5</v>
      </c>
    </row>
    <row r="65" spans="1:8" x14ac:dyDescent="0.25">
      <c r="A65" t="s">
        <v>273</v>
      </c>
      <c r="B65" t="str">
        <f t="shared" si="0"/>
        <v>1983</v>
      </c>
      <c r="C65" t="str">
        <f t="shared" si="1"/>
        <v>04</v>
      </c>
      <c r="D65">
        <v>-7.3680000000000003</v>
      </c>
      <c r="E65">
        <v>119.54300000000001</v>
      </c>
      <c r="F65">
        <v>574</v>
      </c>
      <c r="G65">
        <v>4.5</v>
      </c>
      <c r="H65">
        <v>4.5</v>
      </c>
    </row>
    <row r="66" spans="1:8" x14ac:dyDescent="0.25">
      <c r="A66" t="s">
        <v>277</v>
      </c>
      <c r="B66" t="str">
        <f t="shared" si="0"/>
        <v>1983</v>
      </c>
      <c r="C66" t="str">
        <f t="shared" si="1"/>
        <v>04</v>
      </c>
      <c r="D66">
        <v>-7.2709999999999999</v>
      </c>
      <c r="E66">
        <v>119.626</v>
      </c>
      <c r="F66">
        <v>575</v>
      </c>
      <c r="G66">
        <v>4.9000000000000004</v>
      </c>
      <c r="H66">
        <v>4.9000000000000004</v>
      </c>
    </row>
    <row r="67" spans="1:8" x14ac:dyDescent="0.25">
      <c r="A67" t="s">
        <v>281</v>
      </c>
      <c r="B67" t="str">
        <f t="shared" ref="B67:B130" si="3">LEFT(A67,4)</f>
        <v>1983</v>
      </c>
      <c r="C67" t="str">
        <f t="shared" ref="C67:C130" si="4">MID(A67,6,2)</f>
        <v>05</v>
      </c>
      <c r="D67">
        <v>-7.274</v>
      </c>
      <c r="E67">
        <v>123.396</v>
      </c>
      <c r="F67">
        <v>600.4</v>
      </c>
      <c r="G67">
        <v>5.0999999999999996</v>
      </c>
      <c r="H67">
        <v>5.0999999999999996</v>
      </c>
    </row>
    <row r="68" spans="1:8" x14ac:dyDescent="0.25">
      <c r="A68" t="s">
        <v>285</v>
      </c>
      <c r="B68" t="str">
        <f t="shared" si="3"/>
        <v>1983</v>
      </c>
      <c r="C68" t="str">
        <f t="shared" si="4"/>
        <v>06</v>
      </c>
      <c r="D68">
        <v>-5.9370000000000003</v>
      </c>
      <c r="E68">
        <v>122.636</v>
      </c>
      <c r="F68">
        <v>46.3</v>
      </c>
      <c r="G68">
        <v>5.5</v>
      </c>
      <c r="H68">
        <v>5.5</v>
      </c>
    </row>
    <row r="69" spans="1:8" x14ac:dyDescent="0.25">
      <c r="A69" t="s">
        <v>289</v>
      </c>
      <c r="B69" t="str">
        <f t="shared" si="3"/>
        <v>1983</v>
      </c>
      <c r="C69" t="str">
        <f t="shared" si="4"/>
        <v>07</v>
      </c>
      <c r="D69">
        <v>-7.45</v>
      </c>
      <c r="E69">
        <v>119.81399999999999</v>
      </c>
      <c r="F69">
        <v>33</v>
      </c>
      <c r="G69">
        <v>5.0999999999999996</v>
      </c>
      <c r="H69">
        <v>5.0999999999999996</v>
      </c>
    </row>
    <row r="70" spans="1:8" x14ac:dyDescent="0.25">
      <c r="A70" t="s">
        <v>293</v>
      </c>
      <c r="B70" t="str">
        <f t="shared" si="3"/>
        <v>1983</v>
      </c>
      <c r="C70" t="str">
        <f t="shared" si="4"/>
        <v>08</v>
      </c>
      <c r="D70">
        <v>-7.5579999999999998</v>
      </c>
      <c r="E70">
        <v>124.996</v>
      </c>
      <c r="F70">
        <v>409.5</v>
      </c>
      <c r="G70">
        <v>4.8</v>
      </c>
      <c r="H70">
        <v>4.8</v>
      </c>
    </row>
    <row r="71" spans="1:8" x14ac:dyDescent="0.25">
      <c r="A71" t="s">
        <v>297</v>
      </c>
      <c r="B71" t="str">
        <f t="shared" si="3"/>
        <v>1983</v>
      </c>
      <c r="C71" t="str">
        <f t="shared" si="4"/>
        <v>08</v>
      </c>
      <c r="D71">
        <v>-7.3540000000000001</v>
      </c>
      <c r="E71">
        <v>121.18</v>
      </c>
      <c r="F71">
        <v>547.1</v>
      </c>
      <c r="G71">
        <v>5.2</v>
      </c>
      <c r="H71">
        <v>5.2</v>
      </c>
    </row>
    <row r="72" spans="1:8" x14ac:dyDescent="0.25">
      <c r="A72" t="s">
        <v>301</v>
      </c>
      <c r="B72" t="str">
        <f t="shared" si="3"/>
        <v>1983</v>
      </c>
      <c r="C72" t="str">
        <f t="shared" si="4"/>
        <v>09</v>
      </c>
      <c r="D72">
        <v>-7.056</v>
      </c>
      <c r="E72">
        <v>123.389</v>
      </c>
      <c r="F72">
        <v>642.1</v>
      </c>
      <c r="G72">
        <v>4.5999999999999996</v>
      </c>
      <c r="H72">
        <v>4.5999999999999996</v>
      </c>
    </row>
    <row r="73" spans="1:8" x14ac:dyDescent="0.25">
      <c r="A73" t="s">
        <v>305</v>
      </c>
      <c r="B73" t="str">
        <f t="shared" si="3"/>
        <v>1983</v>
      </c>
      <c r="C73" t="str">
        <f t="shared" si="4"/>
        <v>10</v>
      </c>
      <c r="D73">
        <v>-6.38</v>
      </c>
      <c r="E73">
        <v>125.26</v>
      </c>
      <c r="F73">
        <v>571.6</v>
      </c>
      <c r="G73">
        <v>5.3</v>
      </c>
      <c r="H73">
        <v>5.3</v>
      </c>
    </row>
    <row r="74" spans="1:8" x14ac:dyDescent="0.25">
      <c r="A74" t="s">
        <v>309</v>
      </c>
      <c r="B74" t="str">
        <f t="shared" si="3"/>
        <v>1983</v>
      </c>
      <c r="C74" t="str">
        <f t="shared" si="4"/>
        <v>11</v>
      </c>
      <c r="D74">
        <v>-7.2249999999999996</v>
      </c>
      <c r="E74">
        <v>120.307</v>
      </c>
      <c r="F74">
        <v>567.1</v>
      </c>
      <c r="G74">
        <v>5.4</v>
      </c>
      <c r="H74">
        <v>5.4</v>
      </c>
    </row>
    <row r="75" spans="1:8" x14ac:dyDescent="0.25">
      <c r="A75" t="s">
        <v>313</v>
      </c>
      <c r="B75" t="str">
        <f t="shared" si="3"/>
        <v>1984</v>
      </c>
      <c r="C75" t="str">
        <f t="shared" si="4"/>
        <v>02</v>
      </c>
      <c r="D75">
        <v>-6.95</v>
      </c>
      <c r="E75">
        <v>125.093</v>
      </c>
      <c r="F75">
        <v>518.9</v>
      </c>
      <c r="G75">
        <v>4.5999999999999996</v>
      </c>
      <c r="H75">
        <v>4.5999999999999996</v>
      </c>
    </row>
    <row r="76" spans="1:8" x14ac:dyDescent="0.25">
      <c r="A76" t="s">
        <v>317</v>
      </c>
      <c r="B76" t="str">
        <f t="shared" si="3"/>
        <v>1984</v>
      </c>
      <c r="C76" t="str">
        <f t="shared" si="4"/>
        <v>03</v>
      </c>
      <c r="D76">
        <v>-7.3040000000000003</v>
      </c>
      <c r="E76">
        <v>120.151</v>
      </c>
      <c r="F76">
        <v>608.5</v>
      </c>
      <c r="G76">
        <v>5.5</v>
      </c>
      <c r="H76">
        <v>5.5</v>
      </c>
    </row>
    <row r="77" spans="1:8" x14ac:dyDescent="0.25">
      <c r="A77" t="s">
        <v>323</v>
      </c>
      <c r="B77" t="str">
        <f t="shared" si="3"/>
        <v>1984</v>
      </c>
      <c r="C77" t="str">
        <f t="shared" si="4"/>
        <v>04</v>
      </c>
      <c r="D77">
        <v>-5.6609999999999996</v>
      </c>
      <c r="E77">
        <v>124.831</v>
      </c>
      <c r="F77">
        <v>601.29999999999995</v>
      </c>
      <c r="G77">
        <v>5.9</v>
      </c>
      <c r="H77">
        <v>5.9</v>
      </c>
    </row>
    <row r="78" spans="1:8" x14ac:dyDescent="0.25">
      <c r="A78" t="s">
        <v>327</v>
      </c>
      <c r="B78" t="str">
        <f t="shared" si="3"/>
        <v>1984</v>
      </c>
      <c r="C78" t="str">
        <f t="shared" si="4"/>
        <v>04</v>
      </c>
      <c r="D78">
        <v>-7.343</v>
      </c>
      <c r="E78">
        <v>124.304</v>
      </c>
      <c r="F78">
        <v>427.9</v>
      </c>
      <c r="G78">
        <v>4.8</v>
      </c>
      <c r="H78">
        <v>4.8</v>
      </c>
    </row>
    <row r="79" spans="1:8" x14ac:dyDescent="0.25">
      <c r="A79" t="s">
        <v>331</v>
      </c>
      <c r="B79" t="str">
        <f t="shared" si="3"/>
        <v>1984</v>
      </c>
      <c r="C79" t="str">
        <f t="shared" si="4"/>
        <v>07</v>
      </c>
      <c r="D79">
        <v>-7.2119999999999997</v>
      </c>
      <c r="E79">
        <v>121.072</v>
      </c>
      <c r="F79">
        <v>575</v>
      </c>
      <c r="G79">
        <v>5.5</v>
      </c>
      <c r="H79">
        <v>5.5</v>
      </c>
    </row>
    <row r="80" spans="1:8" x14ac:dyDescent="0.25">
      <c r="A80" t="s">
        <v>335</v>
      </c>
      <c r="B80" t="str">
        <f t="shared" si="3"/>
        <v>1984</v>
      </c>
      <c r="C80" t="str">
        <f t="shared" si="4"/>
        <v>07</v>
      </c>
      <c r="D80">
        <v>-7.2039999999999997</v>
      </c>
      <c r="E80">
        <v>124.057</v>
      </c>
      <c r="F80">
        <v>554</v>
      </c>
      <c r="G80">
        <v>5</v>
      </c>
      <c r="H80">
        <v>5</v>
      </c>
    </row>
    <row r="81" spans="1:8" x14ac:dyDescent="0.25">
      <c r="A81" t="s">
        <v>339</v>
      </c>
      <c r="B81" t="str">
        <f t="shared" si="3"/>
        <v>1984</v>
      </c>
      <c r="C81" t="str">
        <f t="shared" si="4"/>
        <v>08</v>
      </c>
      <c r="D81">
        <v>-6.431</v>
      </c>
      <c r="E81">
        <v>123.697</v>
      </c>
      <c r="F81">
        <v>656.6</v>
      </c>
      <c r="G81">
        <v>5.3</v>
      </c>
      <c r="H81">
        <v>5.3</v>
      </c>
    </row>
    <row r="82" spans="1:8" x14ac:dyDescent="0.25">
      <c r="A82" t="s">
        <v>343</v>
      </c>
      <c r="B82" t="str">
        <f t="shared" si="3"/>
        <v>1984</v>
      </c>
      <c r="C82" t="str">
        <f t="shared" si="4"/>
        <v>08</v>
      </c>
      <c r="D82">
        <v>-7.016</v>
      </c>
      <c r="E82">
        <v>125.265</v>
      </c>
      <c r="F82">
        <v>516.6</v>
      </c>
      <c r="G82">
        <v>5</v>
      </c>
      <c r="H82">
        <v>5</v>
      </c>
    </row>
    <row r="83" spans="1:8" x14ac:dyDescent="0.25">
      <c r="A83" t="s">
        <v>347</v>
      </c>
      <c r="B83" t="str">
        <f t="shared" si="3"/>
        <v>1984</v>
      </c>
      <c r="C83" t="str">
        <f t="shared" si="4"/>
        <v>10</v>
      </c>
      <c r="D83">
        <v>-7.125</v>
      </c>
      <c r="E83">
        <v>124.166</v>
      </c>
      <c r="F83">
        <v>617.4</v>
      </c>
      <c r="G83">
        <v>4.5999999999999996</v>
      </c>
      <c r="H83">
        <v>4.5999999999999996</v>
      </c>
    </row>
    <row r="84" spans="1:8" x14ac:dyDescent="0.25">
      <c r="A84" t="s">
        <v>350</v>
      </c>
      <c r="B84" t="str">
        <f t="shared" si="3"/>
        <v>1984</v>
      </c>
      <c r="C84" t="str">
        <f t="shared" si="4"/>
        <v>11</v>
      </c>
      <c r="D84">
        <v>-4.8559999999999999</v>
      </c>
      <c r="E84">
        <v>125.18</v>
      </c>
      <c r="F84">
        <v>419.1</v>
      </c>
      <c r="G84">
        <v>4.7</v>
      </c>
      <c r="H84">
        <v>4.7</v>
      </c>
    </row>
    <row r="85" spans="1:8" x14ac:dyDescent="0.25">
      <c r="A85" t="s">
        <v>354</v>
      </c>
      <c r="B85" t="str">
        <f t="shared" si="3"/>
        <v>1984</v>
      </c>
      <c r="C85" t="str">
        <f t="shared" si="4"/>
        <v>11</v>
      </c>
      <c r="D85">
        <v>-7.4630000000000001</v>
      </c>
      <c r="E85">
        <v>122.598</v>
      </c>
      <c r="F85">
        <v>33</v>
      </c>
      <c r="G85">
        <v>5</v>
      </c>
      <c r="H85">
        <v>5</v>
      </c>
    </row>
    <row r="86" spans="1:8" x14ac:dyDescent="0.25">
      <c r="A86" t="s">
        <v>358</v>
      </c>
      <c r="B86" t="str">
        <f t="shared" si="3"/>
        <v>1984</v>
      </c>
      <c r="C86" t="str">
        <f t="shared" si="4"/>
        <v>11</v>
      </c>
      <c r="D86">
        <v>-6.8970000000000002</v>
      </c>
      <c r="E86">
        <v>125.048</v>
      </c>
      <c r="F86">
        <v>552.9</v>
      </c>
      <c r="G86">
        <v>4.5999999999999996</v>
      </c>
      <c r="H86">
        <v>4.5999999999999996</v>
      </c>
    </row>
    <row r="87" spans="1:8" x14ac:dyDescent="0.25">
      <c r="A87" t="s">
        <v>362</v>
      </c>
      <c r="B87" t="str">
        <f t="shared" si="3"/>
        <v>1985</v>
      </c>
      <c r="C87" t="str">
        <f t="shared" si="4"/>
        <v>01</v>
      </c>
      <c r="D87">
        <v>-7.4610000000000003</v>
      </c>
      <c r="E87">
        <v>120.22199999999999</v>
      </c>
      <c r="F87">
        <v>391.9</v>
      </c>
      <c r="G87">
        <v>4.5</v>
      </c>
      <c r="H87">
        <v>4.5</v>
      </c>
    </row>
    <row r="88" spans="1:8" x14ac:dyDescent="0.25">
      <c r="A88" t="s">
        <v>366</v>
      </c>
      <c r="B88" t="str">
        <f t="shared" si="3"/>
        <v>1985</v>
      </c>
      <c r="C88" t="str">
        <f t="shared" si="4"/>
        <v>01</v>
      </c>
      <c r="D88">
        <v>-7.23</v>
      </c>
      <c r="E88">
        <v>120.327</v>
      </c>
      <c r="F88">
        <v>563.20000000000005</v>
      </c>
      <c r="G88">
        <v>5.0999999999999996</v>
      </c>
      <c r="H88">
        <v>5.0999999999999996</v>
      </c>
    </row>
    <row r="89" spans="1:8" x14ac:dyDescent="0.25">
      <c r="A89" t="s">
        <v>369</v>
      </c>
      <c r="B89" t="str">
        <f t="shared" si="3"/>
        <v>1985</v>
      </c>
      <c r="C89" t="str">
        <f t="shared" si="4"/>
        <v>01</v>
      </c>
      <c r="D89">
        <v>-7.28</v>
      </c>
      <c r="E89">
        <v>120.307</v>
      </c>
      <c r="F89">
        <v>573.9</v>
      </c>
      <c r="G89">
        <v>4.9000000000000004</v>
      </c>
      <c r="H89">
        <v>4.9000000000000004</v>
      </c>
    </row>
    <row r="90" spans="1:8" x14ac:dyDescent="0.25">
      <c r="A90" t="s">
        <v>373</v>
      </c>
      <c r="B90" t="str">
        <f t="shared" si="3"/>
        <v>1985</v>
      </c>
      <c r="C90" t="str">
        <f t="shared" si="4"/>
        <v>02</v>
      </c>
      <c r="D90">
        <v>-7.0250000000000004</v>
      </c>
      <c r="E90">
        <v>125.114</v>
      </c>
      <c r="F90">
        <v>553.5</v>
      </c>
      <c r="G90">
        <v>5.4</v>
      </c>
      <c r="H90">
        <v>5.4</v>
      </c>
    </row>
    <row r="91" spans="1:8" x14ac:dyDescent="0.25">
      <c r="A91" t="s">
        <v>377</v>
      </c>
      <c r="B91" t="str">
        <f t="shared" si="3"/>
        <v>1985</v>
      </c>
      <c r="C91" t="str">
        <f t="shared" si="4"/>
        <v>02</v>
      </c>
      <c r="D91">
        <v>-7.4329999999999998</v>
      </c>
      <c r="E91">
        <v>124.47499999999999</v>
      </c>
      <c r="F91">
        <v>467.9</v>
      </c>
      <c r="G91">
        <v>5.3</v>
      </c>
      <c r="H91">
        <v>5.3</v>
      </c>
    </row>
    <row r="92" spans="1:8" x14ac:dyDescent="0.25">
      <c r="A92" t="s">
        <v>381</v>
      </c>
      <c r="B92" t="str">
        <f t="shared" si="3"/>
        <v>1985</v>
      </c>
      <c r="C92" t="str">
        <f t="shared" si="4"/>
        <v>04</v>
      </c>
      <c r="D92">
        <v>-7.1559999999999997</v>
      </c>
      <c r="E92">
        <v>123.224</v>
      </c>
      <c r="F92">
        <v>600</v>
      </c>
      <c r="G92">
        <v>4.7</v>
      </c>
      <c r="H92">
        <v>4.7</v>
      </c>
    </row>
    <row r="93" spans="1:8" x14ac:dyDescent="0.25">
      <c r="A93" t="s">
        <v>385</v>
      </c>
      <c r="B93" t="str">
        <f t="shared" si="3"/>
        <v>1985</v>
      </c>
      <c r="C93" t="str">
        <f t="shared" si="4"/>
        <v>07</v>
      </c>
      <c r="D93">
        <v>-7.2569999999999997</v>
      </c>
      <c r="E93">
        <v>124.328</v>
      </c>
      <c r="F93">
        <v>562.9</v>
      </c>
      <c r="G93">
        <v>4.9000000000000004</v>
      </c>
      <c r="H93">
        <v>4.9000000000000004</v>
      </c>
    </row>
    <row r="94" spans="1:8" x14ac:dyDescent="0.25">
      <c r="A94" t="s">
        <v>389</v>
      </c>
      <c r="B94" t="str">
        <f t="shared" si="3"/>
        <v>1985</v>
      </c>
      <c r="C94" t="str">
        <f t="shared" si="4"/>
        <v>10</v>
      </c>
      <c r="D94">
        <v>-6.9409999999999998</v>
      </c>
      <c r="E94">
        <v>125.04</v>
      </c>
      <c r="F94">
        <v>519.9</v>
      </c>
      <c r="G94">
        <v>4.9000000000000004</v>
      </c>
      <c r="H94">
        <v>4.9000000000000004</v>
      </c>
    </row>
    <row r="95" spans="1:8" x14ac:dyDescent="0.25">
      <c r="A95" t="s">
        <v>393</v>
      </c>
      <c r="B95" t="str">
        <f t="shared" si="3"/>
        <v>1985</v>
      </c>
      <c r="C95" t="str">
        <f t="shared" si="4"/>
        <v>10</v>
      </c>
      <c r="D95">
        <v>-7.077</v>
      </c>
      <c r="E95">
        <v>124.28400000000001</v>
      </c>
      <c r="F95">
        <v>595.5</v>
      </c>
      <c r="G95">
        <v>6</v>
      </c>
      <c r="H95">
        <v>6</v>
      </c>
    </row>
    <row r="96" spans="1:8" x14ac:dyDescent="0.25">
      <c r="A96" t="s">
        <v>397</v>
      </c>
      <c r="B96" t="str">
        <f t="shared" si="3"/>
        <v>1986</v>
      </c>
      <c r="C96" t="str">
        <f t="shared" si="4"/>
        <v>01</v>
      </c>
      <c r="D96">
        <v>-7.33</v>
      </c>
      <c r="E96">
        <v>120.37</v>
      </c>
      <c r="F96">
        <v>399.7</v>
      </c>
      <c r="G96">
        <v>4.5</v>
      </c>
      <c r="H96">
        <v>4.5</v>
      </c>
    </row>
    <row r="97" spans="1:8" x14ac:dyDescent="0.25">
      <c r="A97" t="s">
        <v>401</v>
      </c>
      <c r="B97" t="str">
        <f t="shared" si="3"/>
        <v>1986</v>
      </c>
      <c r="C97" t="str">
        <f t="shared" si="4"/>
        <v>02</v>
      </c>
      <c r="D97">
        <v>-6.2539999999999996</v>
      </c>
      <c r="E97">
        <v>120.108</v>
      </c>
      <c r="F97">
        <v>47.2</v>
      </c>
      <c r="G97">
        <v>5.3</v>
      </c>
      <c r="H97">
        <v>5.3</v>
      </c>
    </row>
    <row r="98" spans="1:8" x14ac:dyDescent="0.25">
      <c r="A98" t="s">
        <v>405</v>
      </c>
      <c r="B98" t="str">
        <f t="shared" si="3"/>
        <v>1986</v>
      </c>
      <c r="C98" t="str">
        <f t="shared" si="4"/>
        <v>03</v>
      </c>
      <c r="D98">
        <v>-7.4550000000000001</v>
      </c>
      <c r="E98">
        <v>120.646</v>
      </c>
      <c r="F98">
        <v>613.9</v>
      </c>
      <c r="G98">
        <v>5.5</v>
      </c>
      <c r="H98">
        <v>5.5</v>
      </c>
    </row>
    <row r="99" spans="1:8" x14ac:dyDescent="0.25">
      <c r="A99" t="s">
        <v>409</v>
      </c>
      <c r="B99" t="str">
        <f t="shared" si="3"/>
        <v>1986</v>
      </c>
      <c r="C99" t="str">
        <f t="shared" si="4"/>
        <v>03</v>
      </c>
      <c r="D99">
        <v>-7.3559999999999999</v>
      </c>
      <c r="E99">
        <v>120.19</v>
      </c>
      <c r="F99">
        <v>412</v>
      </c>
      <c r="G99">
        <v>5.2</v>
      </c>
      <c r="H99">
        <v>5.2</v>
      </c>
    </row>
    <row r="100" spans="1:8" x14ac:dyDescent="0.25">
      <c r="A100" t="s">
        <v>413</v>
      </c>
      <c r="B100" t="str">
        <f t="shared" si="3"/>
        <v>1986</v>
      </c>
      <c r="C100" t="str">
        <f t="shared" si="4"/>
        <v>05</v>
      </c>
      <c r="D100">
        <v>-7.0720000000000001</v>
      </c>
      <c r="E100">
        <v>124.152</v>
      </c>
      <c r="F100">
        <v>627.9</v>
      </c>
      <c r="G100">
        <v>6</v>
      </c>
      <c r="H100">
        <v>6</v>
      </c>
    </row>
    <row r="101" spans="1:8" x14ac:dyDescent="0.25">
      <c r="A101" t="s">
        <v>417</v>
      </c>
      <c r="B101" t="str">
        <f t="shared" si="3"/>
        <v>1986</v>
      </c>
      <c r="C101" t="str">
        <f t="shared" si="4"/>
        <v>05</v>
      </c>
      <c r="D101">
        <v>-6.1310000000000002</v>
      </c>
      <c r="E101">
        <v>122.745</v>
      </c>
      <c r="F101">
        <v>52.5</v>
      </c>
      <c r="G101">
        <v>5.3</v>
      </c>
      <c r="H101">
        <v>5.3</v>
      </c>
    </row>
    <row r="102" spans="1:8" x14ac:dyDescent="0.25">
      <c r="A102" t="s">
        <v>421</v>
      </c>
      <c r="B102" t="str">
        <f t="shared" si="3"/>
        <v>1986</v>
      </c>
      <c r="C102" t="str">
        <f t="shared" si="4"/>
        <v>07</v>
      </c>
      <c r="D102">
        <v>-6.3529999999999998</v>
      </c>
      <c r="E102">
        <v>122.825</v>
      </c>
      <c r="F102">
        <v>33</v>
      </c>
      <c r="G102">
        <v>4.5999999999999996</v>
      </c>
      <c r="H102">
        <v>4.5999999999999996</v>
      </c>
    </row>
    <row r="103" spans="1:8" x14ac:dyDescent="0.25">
      <c r="A103" t="s">
        <v>425</v>
      </c>
      <c r="B103" t="str">
        <f t="shared" si="3"/>
        <v>1986</v>
      </c>
      <c r="C103" t="str">
        <f t="shared" si="4"/>
        <v>07</v>
      </c>
      <c r="D103">
        <v>-7.2309999999999999</v>
      </c>
      <c r="E103">
        <v>122.78100000000001</v>
      </c>
      <c r="F103">
        <v>611.9</v>
      </c>
      <c r="G103">
        <v>4.5999999999999996</v>
      </c>
      <c r="H103">
        <v>4.5999999999999996</v>
      </c>
    </row>
    <row r="104" spans="1:8" x14ac:dyDescent="0.25">
      <c r="A104" t="s">
        <v>429</v>
      </c>
      <c r="B104" t="str">
        <f t="shared" si="3"/>
        <v>1986</v>
      </c>
      <c r="C104" t="str">
        <f t="shared" si="4"/>
        <v>07</v>
      </c>
      <c r="D104">
        <v>-6.1369999999999996</v>
      </c>
      <c r="E104">
        <v>123.04600000000001</v>
      </c>
      <c r="F104">
        <v>33</v>
      </c>
      <c r="G104">
        <v>4.8</v>
      </c>
      <c r="H104">
        <v>4.8</v>
      </c>
    </row>
    <row r="105" spans="1:8" x14ac:dyDescent="0.25">
      <c r="A105" t="s">
        <v>433</v>
      </c>
      <c r="B105" t="str">
        <f t="shared" si="3"/>
        <v>1986</v>
      </c>
      <c r="C105" t="str">
        <f t="shared" si="4"/>
        <v>07</v>
      </c>
      <c r="D105">
        <v>-6.1449999999999996</v>
      </c>
      <c r="E105">
        <v>122.98399999999999</v>
      </c>
      <c r="F105">
        <v>33</v>
      </c>
      <c r="G105">
        <v>4.5</v>
      </c>
      <c r="H105">
        <v>4.5</v>
      </c>
    </row>
    <row r="106" spans="1:8" x14ac:dyDescent="0.25">
      <c r="A106" t="s">
        <v>437</v>
      </c>
      <c r="B106" t="str">
        <f t="shared" si="3"/>
        <v>1986</v>
      </c>
      <c r="C106" t="str">
        <f t="shared" si="4"/>
        <v>09</v>
      </c>
      <c r="D106">
        <v>-7.0940000000000003</v>
      </c>
      <c r="E106">
        <v>120.173</v>
      </c>
      <c r="F106">
        <v>423.8</v>
      </c>
      <c r="G106">
        <v>4.9000000000000004</v>
      </c>
      <c r="H106">
        <v>4.9000000000000004</v>
      </c>
    </row>
    <row r="107" spans="1:8" x14ac:dyDescent="0.25">
      <c r="A107" t="s">
        <v>441</v>
      </c>
      <c r="B107" t="str">
        <f t="shared" si="3"/>
        <v>1986</v>
      </c>
      <c r="C107" t="str">
        <f t="shared" si="4"/>
        <v>10</v>
      </c>
      <c r="D107">
        <v>-6.9509999999999996</v>
      </c>
      <c r="E107">
        <v>123.79600000000001</v>
      </c>
      <c r="F107">
        <v>641.29999999999995</v>
      </c>
      <c r="G107">
        <v>5.4</v>
      </c>
      <c r="H107">
        <v>5.4</v>
      </c>
    </row>
    <row r="108" spans="1:8" x14ac:dyDescent="0.25">
      <c r="A108" t="s">
        <v>445</v>
      </c>
      <c r="B108" t="str">
        <f t="shared" si="3"/>
        <v>1986</v>
      </c>
      <c r="C108" t="str">
        <f t="shared" si="4"/>
        <v>10</v>
      </c>
      <c r="D108">
        <v>-7.2519999999999998</v>
      </c>
      <c r="E108">
        <v>122.408</v>
      </c>
      <c r="F108">
        <v>573.70000000000005</v>
      </c>
      <c r="G108">
        <v>4.9000000000000004</v>
      </c>
      <c r="H108">
        <v>4.9000000000000004</v>
      </c>
    </row>
    <row r="109" spans="1:8" x14ac:dyDescent="0.25">
      <c r="A109" t="s">
        <v>449</v>
      </c>
      <c r="B109" t="str">
        <f t="shared" si="3"/>
        <v>1986</v>
      </c>
      <c r="C109" t="str">
        <f t="shared" si="4"/>
        <v>11</v>
      </c>
      <c r="D109">
        <v>-6.8540000000000001</v>
      </c>
      <c r="E109">
        <v>123.32899999999999</v>
      </c>
      <c r="F109">
        <v>632.4</v>
      </c>
      <c r="G109">
        <v>5.2</v>
      </c>
      <c r="H109">
        <v>5.2</v>
      </c>
    </row>
    <row r="110" spans="1:8" x14ac:dyDescent="0.25">
      <c r="A110" t="s">
        <v>453</v>
      </c>
      <c r="B110" t="str">
        <f t="shared" si="3"/>
        <v>1986</v>
      </c>
      <c r="C110" t="str">
        <f t="shared" si="4"/>
        <v>11</v>
      </c>
      <c r="D110">
        <v>-7.1509999999999998</v>
      </c>
      <c r="E110">
        <v>122.751</v>
      </c>
      <c r="F110">
        <v>571.70000000000005</v>
      </c>
      <c r="G110">
        <v>4.5999999999999996</v>
      </c>
      <c r="H110">
        <v>4.5999999999999996</v>
      </c>
    </row>
    <row r="111" spans="1:8" x14ac:dyDescent="0.25">
      <c r="A111" t="s">
        <v>457</v>
      </c>
      <c r="B111" t="str">
        <f t="shared" si="3"/>
        <v>1986</v>
      </c>
      <c r="C111" t="str">
        <f t="shared" si="4"/>
        <v>11</v>
      </c>
      <c r="D111">
        <v>-7.032</v>
      </c>
      <c r="E111">
        <v>125.196</v>
      </c>
      <c r="F111">
        <v>527.29999999999995</v>
      </c>
      <c r="G111">
        <v>4.7</v>
      </c>
      <c r="H111">
        <v>4.7</v>
      </c>
    </row>
    <row r="112" spans="1:8" x14ac:dyDescent="0.25">
      <c r="A112" t="s">
        <v>461</v>
      </c>
      <c r="B112" t="str">
        <f t="shared" si="3"/>
        <v>1986</v>
      </c>
      <c r="C112" t="str">
        <f t="shared" si="4"/>
        <v>12</v>
      </c>
      <c r="D112">
        <v>-5.0380000000000003</v>
      </c>
      <c r="E112">
        <v>125.178</v>
      </c>
      <c r="F112">
        <v>566.70000000000005</v>
      </c>
      <c r="G112">
        <v>5</v>
      </c>
      <c r="H112">
        <v>5</v>
      </c>
    </row>
    <row r="113" spans="1:8" x14ac:dyDescent="0.25">
      <c r="A113" t="s">
        <v>464</v>
      </c>
      <c r="B113" t="str">
        <f t="shared" si="3"/>
        <v>1986</v>
      </c>
      <c r="C113" t="str">
        <f t="shared" si="4"/>
        <v>12</v>
      </c>
      <c r="D113">
        <v>-5.9260000000000002</v>
      </c>
      <c r="E113">
        <v>122.82599999999999</v>
      </c>
      <c r="F113">
        <v>33</v>
      </c>
      <c r="G113">
        <v>4.5</v>
      </c>
      <c r="H113">
        <v>4.5</v>
      </c>
    </row>
    <row r="114" spans="1:8" x14ac:dyDescent="0.25">
      <c r="A114" t="s">
        <v>468</v>
      </c>
      <c r="B114" t="str">
        <f t="shared" si="3"/>
        <v>1987</v>
      </c>
      <c r="C114" t="str">
        <f t="shared" si="4"/>
        <v>02</v>
      </c>
      <c r="D114">
        <v>-6.8719999999999999</v>
      </c>
      <c r="E114">
        <v>124.774</v>
      </c>
      <c r="F114">
        <v>563.29999999999995</v>
      </c>
      <c r="G114">
        <v>4.9000000000000004</v>
      </c>
      <c r="H114">
        <v>4.9000000000000004</v>
      </c>
    </row>
    <row r="115" spans="1:8" x14ac:dyDescent="0.25">
      <c r="A115" t="s">
        <v>472</v>
      </c>
      <c r="B115" t="str">
        <f t="shared" si="3"/>
        <v>1987</v>
      </c>
      <c r="C115" t="str">
        <f t="shared" si="4"/>
        <v>02</v>
      </c>
      <c r="D115">
        <v>-7.3419999999999996</v>
      </c>
      <c r="E115">
        <v>120.01900000000001</v>
      </c>
      <c r="F115">
        <v>625.79999999999995</v>
      </c>
      <c r="G115">
        <v>5.2</v>
      </c>
      <c r="H115">
        <v>5.2</v>
      </c>
    </row>
    <row r="116" spans="1:8" x14ac:dyDescent="0.25">
      <c r="A116" t="s">
        <v>476</v>
      </c>
      <c r="B116" t="str">
        <f t="shared" si="3"/>
        <v>1987</v>
      </c>
      <c r="C116" t="str">
        <f t="shared" si="4"/>
        <v>04</v>
      </c>
      <c r="D116">
        <v>-7.1630000000000003</v>
      </c>
      <c r="E116">
        <v>124.629</v>
      </c>
      <c r="F116">
        <v>516.6</v>
      </c>
      <c r="G116">
        <v>5</v>
      </c>
      <c r="H116">
        <v>5</v>
      </c>
    </row>
    <row r="117" spans="1:8" x14ac:dyDescent="0.25">
      <c r="A117" t="s">
        <v>480</v>
      </c>
      <c r="B117" t="str">
        <f t="shared" si="3"/>
        <v>1987</v>
      </c>
      <c r="C117" t="str">
        <f t="shared" si="4"/>
        <v>04</v>
      </c>
      <c r="D117">
        <v>-7.2279999999999998</v>
      </c>
      <c r="E117">
        <v>120.256</v>
      </c>
      <c r="F117">
        <v>479</v>
      </c>
      <c r="G117">
        <v>4.5</v>
      </c>
      <c r="H117">
        <v>4.5</v>
      </c>
    </row>
    <row r="118" spans="1:8" x14ac:dyDescent="0.25">
      <c r="A118" t="s">
        <v>484</v>
      </c>
      <c r="B118" t="str">
        <f t="shared" si="3"/>
        <v>1987</v>
      </c>
      <c r="C118" t="str">
        <f t="shared" si="4"/>
        <v>05</v>
      </c>
      <c r="D118">
        <v>-7.4180000000000001</v>
      </c>
      <c r="E118">
        <v>119.959</v>
      </c>
      <c r="F118">
        <v>401.2</v>
      </c>
      <c r="G118">
        <v>4.5</v>
      </c>
      <c r="H118">
        <v>4.5</v>
      </c>
    </row>
    <row r="119" spans="1:8" x14ac:dyDescent="0.25">
      <c r="A119" t="s">
        <v>488</v>
      </c>
      <c r="B119" t="str">
        <f t="shared" si="3"/>
        <v>1987</v>
      </c>
      <c r="C119" t="str">
        <f t="shared" si="4"/>
        <v>07</v>
      </c>
      <c r="D119">
        <v>-4.8739999999999997</v>
      </c>
      <c r="E119">
        <v>123.53700000000001</v>
      </c>
      <c r="F119">
        <v>33</v>
      </c>
      <c r="G119">
        <v>5.0999999999999996</v>
      </c>
      <c r="H119">
        <v>5.0999999999999996</v>
      </c>
    </row>
    <row r="120" spans="1:8" x14ac:dyDescent="0.25">
      <c r="A120" t="s">
        <v>492</v>
      </c>
      <c r="B120" t="str">
        <f t="shared" si="3"/>
        <v>1987</v>
      </c>
      <c r="C120" t="str">
        <f t="shared" si="4"/>
        <v>07</v>
      </c>
      <c r="D120">
        <v>-7.1539999999999999</v>
      </c>
      <c r="E120">
        <v>120.751</v>
      </c>
      <c r="F120">
        <v>485.2</v>
      </c>
      <c r="G120">
        <v>5.2</v>
      </c>
      <c r="H120">
        <v>5.2</v>
      </c>
    </row>
    <row r="121" spans="1:8" x14ac:dyDescent="0.25">
      <c r="A121" t="s">
        <v>496</v>
      </c>
      <c r="B121" t="str">
        <f t="shared" si="3"/>
        <v>1987</v>
      </c>
      <c r="C121" t="str">
        <f t="shared" si="4"/>
        <v>08</v>
      </c>
      <c r="D121">
        <v>-6.85</v>
      </c>
      <c r="E121">
        <v>125.161</v>
      </c>
      <c r="F121">
        <v>542.5</v>
      </c>
      <c r="G121">
        <v>4.5</v>
      </c>
      <c r="H121">
        <v>4.5</v>
      </c>
    </row>
    <row r="122" spans="1:8" x14ac:dyDescent="0.25">
      <c r="A122" t="s">
        <v>500</v>
      </c>
      <c r="B122" t="str">
        <f t="shared" si="3"/>
        <v>1987</v>
      </c>
      <c r="C122" t="str">
        <f t="shared" si="4"/>
        <v>09</v>
      </c>
      <c r="D122">
        <v>-7.1230000000000002</v>
      </c>
      <c r="E122">
        <v>123.29</v>
      </c>
      <c r="F122">
        <v>603.6</v>
      </c>
      <c r="G122">
        <v>5.5</v>
      </c>
      <c r="H122">
        <v>5.5</v>
      </c>
    </row>
    <row r="123" spans="1:8" x14ac:dyDescent="0.25">
      <c r="A123" t="s">
        <v>504</v>
      </c>
      <c r="B123" t="str">
        <f t="shared" si="3"/>
        <v>1987</v>
      </c>
      <c r="C123" t="str">
        <f t="shared" si="4"/>
        <v>10</v>
      </c>
      <c r="D123">
        <v>-7.3929999999999998</v>
      </c>
      <c r="E123">
        <v>119.98699999999999</v>
      </c>
      <c r="F123">
        <v>629.9</v>
      </c>
      <c r="G123">
        <v>4.8</v>
      </c>
      <c r="H123">
        <v>4.8</v>
      </c>
    </row>
    <row r="124" spans="1:8" x14ac:dyDescent="0.25">
      <c r="A124" t="s">
        <v>508</v>
      </c>
      <c r="B124" t="str">
        <f t="shared" si="3"/>
        <v>1987</v>
      </c>
      <c r="C124" t="str">
        <f t="shared" si="4"/>
        <v>11</v>
      </c>
      <c r="D124">
        <v>-7.2329999999999997</v>
      </c>
      <c r="E124">
        <v>125.28700000000001</v>
      </c>
      <c r="F124">
        <v>524.6</v>
      </c>
      <c r="G124">
        <v>4.9000000000000004</v>
      </c>
      <c r="H124">
        <v>4.9000000000000004</v>
      </c>
    </row>
    <row r="125" spans="1:8" x14ac:dyDescent="0.25">
      <c r="A125" t="s">
        <v>512</v>
      </c>
      <c r="B125" t="str">
        <f t="shared" si="3"/>
        <v>1987</v>
      </c>
      <c r="C125" t="str">
        <f t="shared" si="4"/>
        <v>11</v>
      </c>
      <c r="D125">
        <v>-7.0659999999999998</v>
      </c>
      <c r="E125">
        <v>123.218</v>
      </c>
      <c r="F125">
        <v>649.79999999999995</v>
      </c>
      <c r="G125">
        <v>5.2</v>
      </c>
      <c r="H125">
        <v>5.2</v>
      </c>
    </row>
    <row r="126" spans="1:8" x14ac:dyDescent="0.25">
      <c r="A126" t="s">
        <v>516</v>
      </c>
      <c r="B126" t="str">
        <f t="shared" si="3"/>
        <v>1987</v>
      </c>
      <c r="C126" t="str">
        <f t="shared" si="4"/>
        <v>11</v>
      </c>
      <c r="D126">
        <v>-7.077</v>
      </c>
      <c r="E126">
        <v>123.283</v>
      </c>
      <c r="F126">
        <v>653.79999999999995</v>
      </c>
      <c r="G126">
        <v>4.5999999999999996</v>
      </c>
      <c r="H126">
        <v>4.5999999999999996</v>
      </c>
    </row>
    <row r="127" spans="1:8" x14ac:dyDescent="0.25">
      <c r="A127" t="s">
        <v>520</v>
      </c>
      <c r="B127" t="str">
        <f t="shared" si="3"/>
        <v>1988</v>
      </c>
      <c r="C127" t="str">
        <f t="shared" si="4"/>
        <v>03</v>
      </c>
      <c r="D127">
        <v>-7.2729999999999997</v>
      </c>
      <c r="E127">
        <v>122.28100000000001</v>
      </c>
      <c r="F127">
        <v>613</v>
      </c>
      <c r="G127">
        <v>5.6</v>
      </c>
      <c r="H127">
        <v>5.6</v>
      </c>
    </row>
    <row r="128" spans="1:8" x14ac:dyDescent="0.25">
      <c r="A128" t="s">
        <v>524</v>
      </c>
      <c r="B128" t="str">
        <f t="shared" si="3"/>
        <v>1988</v>
      </c>
      <c r="C128" t="str">
        <f t="shared" si="4"/>
        <v>03</v>
      </c>
      <c r="D128">
        <v>-7.3390000000000004</v>
      </c>
      <c r="E128">
        <v>122.238</v>
      </c>
      <c r="F128">
        <v>631.9</v>
      </c>
      <c r="G128">
        <v>5.4</v>
      </c>
      <c r="H128">
        <v>5.4</v>
      </c>
    </row>
    <row r="129" spans="1:8" x14ac:dyDescent="0.25">
      <c r="A129" t="s">
        <v>528</v>
      </c>
      <c r="B129" t="str">
        <f t="shared" si="3"/>
        <v>1988</v>
      </c>
      <c r="C129" t="str">
        <f t="shared" si="4"/>
        <v>03</v>
      </c>
      <c r="D129">
        <v>-6.8959999999999999</v>
      </c>
      <c r="E129">
        <v>125.054</v>
      </c>
      <c r="F129">
        <v>540.79999999999995</v>
      </c>
      <c r="G129">
        <v>5.2</v>
      </c>
      <c r="H129">
        <v>5.2</v>
      </c>
    </row>
    <row r="130" spans="1:8" x14ac:dyDescent="0.25">
      <c r="A130" t="s">
        <v>531</v>
      </c>
      <c r="B130" t="str">
        <f t="shared" si="3"/>
        <v>1988</v>
      </c>
      <c r="C130" t="str">
        <f t="shared" si="4"/>
        <v>03</v>
      </c>
      <c r="D130">
        <v>-6.9089999999999998</v>
      </c>
      <c r="E130">
        <v>124.971</v>
      </c>
      <c r="F130">
        <v>529.4</v>
      </c>
      <c r="G130">
        <v>5.2</v>
      </c>
      <c r="H130">
        <v>5.2</v>
      </c>
    </row>
    <row r="131" spans="1:8" x14ac:dyDescent="0.25">
      <c r="A131" t="s">
        <v>535</v>
      </c>
      <c r="B131" t="str">
        <f t="shared" ref="B131:B194" si="5">LEFT(A131,4)</f>
        <v>1988</v>
      </c>
      <c r="C131" t="str">
        <f t="shared" ref="C131:C194" si="6">MID(A131,6,2)</f>
        <v>03</v>
      </c>
      <c r="D131">
        <v>-7.351</v>
      </c>
      <c r="E131">
        <v>121.812</v>
      </c>
      <c r="F131">
        <v>293.5</v>
      </c>
      <c r="G131">
        <v>4.5999999999999996</v>
      </c>
      <c r="H131">
        <v>4.5999999999999996</v>
      </c>
    </row>
    <row r="132" spans="1:8" x14ac:dyDescent="0.25">
      <c r="A132" t="s">
        <v>539</v>
      </c>
      <c r="B132" t="str">
        <f t="shared" si="5"/>
        <v>1988</v>
      </c>
      <c r="C132" t="str">
        <f t="shared" si="6"/>
        <v>05</v>
      </c>
      <c r="D132">
        <v>-7.202</v>
      </c>
      <c r="E132">
        <v>123.871</v>
      </c>
      <c r="F132">
        <v>577.6</v>
      </c>
      <c r="G132">
        <v>5.3</v>
      </c>
      <c r="H132">
        <v>5.3</v>
      </c>
    </row>
    <row r="133" spans="1:8" x14ac:dyDescent="0.25">
      <c r="A133" t="s">
        <v>543</v>
      </c>
      <c r="B133" t="str">
        <f t="shared" si="5"/>
        <v>1988</v>
      </c>
      <c r="C133" t="str">
        <f t="shared" si="6"/>
        <v>05</v>
      </c>
      <c r="D133">
        <v>-7.1829999999999998</v>
      </c>
      <c r="E133">
        <v>124.765</v>
      </c>
      <c r="F133">
        <v>554.1</v>
      </c>
      <c r="G133">
        <v>5.2</v>
      </c>
      <c r="H133">
        <v>5.2</v>
      </c>
    </row>
    <row r="134" spans="1:8" x14ac:dyDescent="0.25">
      <c r="A134" t="s">
        <v>547</v>
      </c>
      <c r="B134" t="str">
        <f t="shared" si="5"/>
        <v>1988</v>
      </c>
      <c r="C134" t="str">
        <f t="shared" si="6"/>
        <v>06</v>
      </c>
      <c r="D134">
        <v>-7.1520000000000001</v>
      </c>
      <c r="E134">
        <v>120.465</v>
      </c>
      <c r="F134">
        <v>566.5</v>
      </c>
      <c r="G134">
        <v>5.0999999999999996</v>
      </c>
      <c r="H134">
        <v>5.0999999999999996</v>
      </c>
    </row>
    <row r="135" spans="1:8" x14ac:dyDescent="0.25">
      <c r="A135" t="s">
        <v>551</v>
      </c>
      <c r="B135" t="str">
        <f t="shared" si="5"/>
        <v>1988</v>
      </c>
      <c r="C135" t="str">
        <f t="shared" si="6"/>
        <v>06</v>
      </c>
      <c r="D135">
        <v>-7.2290000000000001</v>
      </c>
      <c r="E135">
        <v>120.26</v>
      </c>
      <c r="F135">
        <v>391.7</v>
      </c>
      <c r="G135">
        <v>4.7</v>
      </c>
      <c r="H135">
        <v>4.7</v>
      </c>
    </row>
    <row r="136" spans="1:8" x14ac:dyDescent="0.25">
      <c r="A136" t="s">
        <v>554</v>
      </c>
      <c r="B136" t="str">
        <f t="shared" si="5"/>
        <v>1988</v>
      </c>
      <c r="C136" t="str">
        <f t="shared" si="6"/>
        <v>07</v>
      </c>
      <c r="D136">
        <v>-7.3419999999999996</v>
      </c>
      <c r="E136">
        <v>120.19</v>
      </c>
      <c r="F136">
        <v>424.1</v>
      </c>
      <c r="G136">
        <v>5.7</v>
      </c>
      <c r="H136">
        <v>5.7</v>
      </c>
    </row>
    <row r="137" spans="1:8" x14ac:dyDescent="0.25">
      <c r="A137" t="s">
        <v>558</v>
      </c>
      <c r="B137" t="str">
        <f t="shared" si="5"/>
        <v>1988</v>
      </c>
      <c r="C137" t="str">
        <f t="shared" si="6"/>
        <v>09</v>
      </c>
      <c r="D137">
        <v>-6.8550000000000004</v>
      </c>
      <c r="E137">
        <v>122.434</v>
      </c>
      <c r="F137">
        <v>268.89999999999998</v>
      </c>
      <c r="G137">
        <v>4.9000000000000004</v>
      </c>
      <c r="H137">
        <v>4.9000000000000004</v>
      </c>
    </row>
    <row r="138" spans="1:8" x14ac:dyDescent="0.25">
      <c r="A138" t="s">
        <v>562</v>
      </c>
      <c r="B138" t="str">
        <f t="shared" si="5"/>
        <v>1988</v>
      </c>
      <c r="C138" t="str">
        <f t="shared" si="6"/>
        <v>10</v>
      </c>
      <c r="D138">
        <v>-7.3810000000000002</v>
      </c>
      <c r="E138">
        <v>120.295</v>
      </c>
      <c r="F138">
        <v>595.6</v>
      </c>
      <c r="G138">
        <v>5.8</v>
      </c>
      <c r="H138">
        <v>5.8</v>
      </c>
    </row>
    <row r="139" spans="1:8" x14ac:dyDescent="0.25">
      <c r="A139" t="s">
        <v>565</v>
      </c>
      <c r="B139" t="str">
        <f t="shared" si="5"/>
        <v>1988</v>
      </c>
      <c r="C139" t="str">
        <f t="shared" si="6"/>
        <v>11</v>
      </c>
      <c r="D139">
        <v>-5.8250000000000002</v>
      </c>
      <c r="E139">
        <v>125.116</v>
      </c>
      <c r="F139">
        <v>31.3</v>
      </c>
      <c r="G139">
        <v>4.8</v>
      </c>
      <c r="H139">
        <v>4.8</v>
      </c>
    </row>
    <row r="140" spans="1:8" x14ac:dyDescent="0.25">
      <c r="A140" t="s">
        <v>568</v>
      </c>
      <c r="B140" t="str">
        <f t="shared" si="5"/>
        <v>1988</v>
      </c>
      <c r="C140" t="str">
        <f t="shared" si="6"/>
        <v>11</v>
      </c>
      <c r="D140">
        <v>-7.4669999999999996</v>
      </c>
      <c r="E140">
        <v>123.392</v>
      </c>
      <c r="F140">
        <v>290.60000000000002</v>
      </c>
      <c r="G140">
        <v>4.5999999999999996</v>
      </c>
      <c r="H140">
        <v>4.5999999999999996</v>
      </c>
    </row>
    <row r="141" spans="1:8" x14ac:dyDescent="0.25">
      <c r="A141" t="s">
        <v>572</v>
      </c>
      <c r="B141" t="str">
        <f t="shared" si="5"/>
        <v>1988</v>
      </c>
      <c r="C141" t="str">
        <f t="shared" si="6"/>
        <v>12</v>
      </c>
      <c r="D141">
        <v>-6.9450000000000003</v>
      </c>
      <c r="E141">
        <v>123.39100000000001</v>
      </c>
      <c r="F141">
        <v>612.20000000000005</v>
      </c>
      <c r="G141">
        <v>4.7</v>
      </c>
      <c r="H141">
        <v>4.7</v>
      </c>
    </row>
    <row r="142" spans="1:8" x14ac:dyDescent="0.25">
      <c r="A142" t="s">
        <v>576</v>
      </c>
      <c r="B142" t="str">
        <f t="shared" si="5"/>
        <v>1988</v>
      </c>
      <c r="C142" t="str">
        <f t="shared" si="6"/>
        <v>12</v>
      </c>
      <c r="D142">
        <v>-6.9889999999999999</v>
      </c>
      <c r="E142">
        <v>123.28</v>
      </c>
      <c r="F142">
        <v>612.29999999999995</v>
      </c>
      <c r="G142">
        <v>4.8</v>
      </c>
      <c r="H142">
        <v>4.8</v>
      </c>
    </row>
    <row r="143" spans="1:8" x14ac:dyDescent="0.25">
      <c r="A143" t="s">
        <v>580</v>
      </c>
      <c r="B143" t="str">
        <f t="shared" si="5"/>
        <v>1988</v>
      </c>
      <c r="C143" t="str">
        <f t="shared" si="6"/>
        <v>12</v>
      </c>
      <c r="D143">
        <v>-6.9930000000000003</v>
      </c>
      <c r="E143">
        <v>123.4</v>
      </c>
      <c r="F143">
        <v>626.20000000000005</v>
      </c>
      <c r="G143">
        <v>5.2</v>
      </c>
      <c r="H143">
        <v>5.2</v>
      </c>
    </row>
    <row r="144" spans="1:8" x14ac:dyDescent="0.25">
      <c r="A144" t="s">
        <v>584</v>
      </c>
      <c r="B144" t="str">
        <f t="shared" si="5"/>
        <v>1988</v>
      </c>
      <c r="C144" t="str">
        <f t="shared" si="6"/>
        <v>12</v>
      </c>
      <c r="D144">
        <v>-7.101</v>
      </c>
      <c r="E144">
        <v>123.386</v>
      </c>
      <c r="F144">
        <v>625.9</v>
      </c>
      <c r="G144">
        <v>5.4</v>
      </c>
      <c r="H144">
        <v>5.4</v>
      </c>
    </row>
    <row r="145" spans="1:8" x14ac:dyDescent="0.25">
      <c r="A145" t="s">
        <v>588</v>
      </c>
      <c r="B145" t="str">
        <f t="shared" si="5"/>
        <v>1988</v>
      </c>
      <c r="C145" t="str">
        <f t="shared" si="6"/>
        <v>12</v>
      </c>
      <c r="D145">
        <v>-6.9569999999999999</v>
      </c>
      <c r="E145">
        <v>123.374</v>
      </c>
      <c r="F145">
        <v>626.1</v>
      </c>
      <c r="G145">
        <v>4.5</v>
      </c>
      <c r="H145">
        <v>4.5</v>
      </c>
    </row>
    <row r="146" spans="1:8" x14ac:dyDescent="0.25">
      <c r="A146" t="s">
        <v>592</v>
      </c>
      <c r="B146" t="str">
        <f t="shared" si="5"/>
        <v>1989</v>
      </c>
      <c r="C146" t="str">
        <f t="shared" si="6"/>
        <v>02</v>
      </c>
      <c r="D146">
        <v>-7.3289999999999997</v>
      </c>
      <c r="E146">
        <v>121.626</v>
      </c>
      <c r="F146">
        <v>506.5</v>
      </c>
      <c r="G146">
        <v>5</v>
      </c>
      <c r="H146">
        <v>5</v>
      </c>
    </row>
    <row r="147" spans="1:8" x14ac:dyDescent="0.25">
      <c r="A147" t="s">
        <v>596</v>
      </c>
      <c r="B147" t="str">
        <f t="shared" si="5"/>
        <v>1989</v>
      </c>
      <c r="C147" t="str">
        <f t="shared" si="6"/>
        <v>04</v>
      </c>
      <c r="D147">
        <v>-7.32</v>
      </c>
      <c r="E147">
        <v>120.69199999999999</v>
      </c>
      <c r="F147">
        <v>490.1</v>
      </c>
      <c r="G147">
        <v>4.5999999999999996</v>
      </c>
      <c r="H147">
        <v>4.5999999999999996</v>
      </c>
    </row>
    <row r="148" spans="1:8" x14ac:dyDescent="0.25">
      <c r="A148" t="s">
        <v>600</v>
      </c>
      <c r="B148" t="str">
        <f t="shared" si="5"/>
        <v>1989</v>
      </c>
      <c r="C148" t="str">
        <f t="shared" si="6"/>
        <v>06</v>
      </c>
      <c r="D148">
        <v>-6.9740000000000002</v>
      </c>
      <c r="E148">
        <v>122.407</v>
      </c>
      <c r="F148">
        <v>33</v>
      </c>
      <c r="G148">
        <v>4.5999999999999996</v>
      </c>
      <c r="H148">
        <v>4.5999999999999996</v>
      </c>
    </row>
    <row r="149" spans="1:8" x14ac:dyDescent="0.25">
      <c r="A149" t="s">
        <v>604</v>
      </c>
      <c r="B149" t="str">
        <f t="shared" si="5"/>
        <v>1989</v>
      </c>
      <c r="C149" t="str">
        <f t="shared" si="6"/>
        <v>07</v>
      </c>
      <c r="D149">
        <v>-7.1909999999999998</v>
      </c>
      <c r="E149">
        <v>122.715</v>
      </c>
      <c r="F149">
        <v>620.29999999999995</v>
      </c>
      <c r="G149">
        <v>5.8</v>
      </c>
      <c r="H149">
        <v>5.8</v>
      </c>
    </row>
    <row r="150" spans="1:8" x14ac:dyDescent="0.25">
      <c r="A150" t="s">
        <v>608</v>
      </c>
      <c r="B150" t="str">
        <f t="shared" si="5"/>
        <v>1989</v>
      </c>
      <c r="C150" t="str">
        <f t="shared" si="6"/>
        <v>08</v>
      </c>
      <c r="D150">
        <v>-7.2370000000000001</v>
      </c>
      <c r="E150">
        <v>122.68899999999999</v>
      </c>
      <c r="F150">
        <v>632.20000000000005</v>
      </c>
      <c r="G150">
        <v>5.4</v>
      </c>
      <c r="H150">
        <v>5.4</v>
      </c>
    </row>
    <row r="151" spans="1:8" x14ac:dyDescent="0.25">
      <c r="A151" t="s">
        <v>612</v>
      </c>
      <c r="B151" t="str">
        <f t="shared" si="5"/>
        <v>1989</v>
      </c>
      <c r="C151" t="str">
        <f t="shared" si="6"/>
        <v>12</v>
      </c>
      <c r="D151">
        <v>-6.09</v>
      </c>
      <c r="E151">
        <v>122.69199999999999</v>
      </c>
      <c r="F151">
        <v>33</v>
      </c>
      <c r="G151">
        <v>4.7</v>
      </c>
      <c r="H151">
        <v>4.7</v>
      </c>
    </row>
    <row r="152" spans="1:8" x14ac:dyDescent="0.25">
      <c r="A152" t="s">
        <v>616</v>
      </c>
      <c r="B152" t="str">
        <f t="shared" si="5"/>
        <v>1989</v>
      </c>
      <c r="C152" t="str">
        <f t="shared" si="6"/>
        <v>12</v>
      </c>
      <c r="D152">
        <v>-6.99</v>
      </c>
      <c r="E152">
        <v>124.807</v>
      </c>
      <c r="F152">
        <v>551.5</v>
      </c>
      <c r="G152">
        <v>5.3</v>
      </c>
      <c r="H152">
        <v>5.3</v>
      </c>
    </row>
    <row r="153" spans="1:8" x14ac:dyDescent="0.25">
      <c r="A153" t="s">
        <v>620</v>
      </c>
      <c r="B153" t="str">
        <f t="shared" si="5"/>
        <v>1990</v>
      </c>
      <c r="C153" t="str">
        <f t="shared" si="6"/>
        <v>01</v>
      </c>
      <c r="D153">
        <v>-7.1829999999999998</v>
      </c>
      <c r="E153">
        <v>125.242</v>
      </c>
      <c r="F153">
        <v>527.1</v>
      </c>
      <c r="G153">
        <v>5.3</v>
      </c>
      <c r="H153">
        <v>5.3</v>
      </c>
    </row>
    <row r="154" spans="1:8" x14ac:dyDescent="0.25">
      <c r="A154" t="s">
        <v>624</v>
      </c>
      <c r="B154" t="str">
        <f t="shared" si="5"/>
        <v>1990</v>
      </c>
      <c r="C154" t="str">
        <f t="shared" si="6"/>
        <v>05</v>
      </c>
      <c r="D154">
        <v>-7.3630000000000004</v>
      </c>
      <c r="E154">
        <v>120.363</v>
      </c>
      <c r="F154">
        <v>588.9</v>
      </c>
      <c r="G154">
        <v>7.1</v>
      </c>
      <c r="H154">
        <v>7.1</v>
      </c>
    </row>
    <row r="155" spans="1:8" x14ac:dyDescent="0.25">
      <c r="A155" t="s">
        <v>627</v>
      </c>
      <c r="B155" t="str">
        <f t="shared" si="5"/>
        <v>1990</v>
      </c>
      <c r="C155" t="str">
        <f t="shared" si="6"/>
        <v>05</v>
      </c>
      <c r="D155">
        <v>-7.4329999999999998</v>
      </c>
      <c r="E155">
        <v>120.426</v>
      </c>
      <c r="F155">
        <v>636.29999999999995</v>
      </c>
      <c r="G155">
        <v>4.5999999999999996</v>
      </c>
      <c r="H155">
        <v>4.5999999999999996</v>
      </c>
    </row>
    <row r="156" spans="1:8" x14ac:dyDescent="0.25">
      <c r="A156" t="s">
        <v>631</v>
      </c>
      <c r="B156" t="str">
        <f t="shared" si="5"/>
        <v>1990</v>
      </c>
      <c r="C156" t="str">
        <f t="shared" si="6"/>
        <v>06</v>
      </c>
      <c r="D156">
        <v>-7.0039999999999996</v>
      </c>
      <c r="E156">
        <v>125.074</v>
      </c>
      <c r="F156">
        <v>567</v>
      </c>
      <c r="G156">
        <v>5</v>
      </c>
      <c r="H156">
        <v>5</v>
      </c>
    </row>
    <row r="157" spans="1:8" x14ac:dyDescent="0.25">
      <c r="A157" t="s">
        <v>635</v>
      </c>
      <c r="B157" t="str">
        <f t="shared" si="5"/>
        <v>1990</v>
      </c>
      <c r="C157" t="str">
        <f t="shared" si="6"/>
        <v>07</v>
      </c>
      <c r="D157">
        <v>-7.2229999999999999</v>
      </c>
      <c r="E157">
        <v>120.5</v>
      </c>
      <c r="F157">
        <v>521.79999999999995</v>
      </c>
      <c r="G157">
        <v>4.9000000000000004</v>
      </c>
      <c r="H157">
        <v>4.9000000000000004</v>
      </c>
    </row>
    <row r="158" spans="1:8" x14ac:dyDescent="0.25">
      <c r="A158" t="s">
        <v>639</v>
      </c>
      <c r="B158" t="str">
        <f t="shared" si="5"/>
        <v>1990</v>
      </c>
      <c r="C158" t="str">
        <f t="shared" si="6"/>
        <v>09</v>
      </c>
      <c r="D158">
        <v>-6.7169999999999996</v>
      </c>
      <c r="E158">
        <v>124.82899999999999</v>
      </c>
      <c r="F158">
        <v>590.29999999999995</v>
      </c>
      <c r="G158">
        <v>4.5999999999999996</v>
      </c>
      <c r="H158">
        <v>4.5999999999999996</v>
      </c>
    </row>
    <row r="159" spans="1:8" x14ac:dyDescent="0.25">
      <c r="A159" t="s">
        <v>643</v>
      </c>
      <c r="B159" t="str">
        <f t="shared" si="5"/>
        <v>1990</v>
      </c>
      <c r="C159" t="str">
        <f t="shared" si="6"/>
        <v>09</v>
      </c>
      <c r="D159">
        <v>-7.0149999999999997</v>
      </c>
      <c r="E159">
        <v>124.913</v>
      </c>
      <c r="F159">
        <v>546.5</v>
      </c>
      <c r="G159">
        <v>5</v>
      </c>
      <c r="H159">
        <v>5</v>
      </c>
    </row>
    <row r="160" spans="1:8" x14ac:dyDescent="0.25">
      <c r="A160" t="s">
        <v>647</v>
      </c>
      <c r="B160" t="str">
        <f t="shared" si="5"/>
        <v>1990</v>
      </c>
      <c r="C160" t="str">
        <f t="shared" si="6"/>
        <v>09</v>
      </c>
      <c r="D160">
        <v>-6.2229999999999999</v>
      </c>
      <c r="E160">
        <v>124.28700000000001</v>
      </c>
      <c r="F160">
        <v>35.5</v>
      </c>
      <c r="G160">
        <v>5.2</v>
      </c>
      <c r="H160">
        <v>5.2</v>
      </c>
    </row>
    <row r="161" spans="1:8" x14ac:dyDescent="0.25">
      <c r="A161" t="s">
        <v>651</v>
      </c>
      <c r="B161" t="str">
        <f t="shared" si="5"/>
        <v>1990</v>
      </c>
      <c r="C161" t="str">
        <f t="shared" si="6"/>
        <v>09</v>
      </c>
      <c r="D161">
        <v>-6.2779999999999996</v>
      </c>
      <c r="E161">
        <v>124.294</v>
      </c>
      <c r="F161">
        <v>33</v>
      </c>
      <c r="G161">
        <v>5.2</v>
      </c>
      <c r="H161">
        <v>5.2</v>
      </c>
    </row>
    <row r="162" spans="1:8" x14ac:dyDescent="0.25">
      <c r="A162" t="s">
        <v>655</v>
      </c>
      <c r="B162" t="str">
        <f t="shared" si="5"/>
        <v>1990</v>
      </c>
      <c r="C162" t="str">
        <f t="shared" si="6"/>
        <v>10</v>
      </c>
      <c r="D162">
        <v>-7.202</v>
      </c>
      <c r="E162">
        <v>122.996</v>
      </c>
      <c r="F162">
        <v>544.79999999999995</v>
      </c>
      <c r="G162">
        <v>5</v>
      </c>
      <c r="H162">
        <v>5</v>
      </c>
    </row>
    <row r="163" spans="1:8" x14ac:dyDescent="0.25">
      <c r="A163" t="s">
        <v>658</v>
      </c>
      <c r="B163" t="str">
        <f t="shared" si="5"/>
        <v>1991</v>
      </c>
      <c r="C163" t="str">
        <f t="shared" si="6"/>
        <v>05</v>
      </c>
      <c r="D163">
        <v>-7.3289999999999997</v>
      </c>
      <c r="E163">
        <v>120.416</v>
      </c>
      <c r="F163">
        <v>495.2</v>
      </c>
      <c r="G163">
        <v>4.9000000000000004</v>
      </c>
      <c r="H163">
        <v>4.9000000000000004</v>
      </c>
    </row>
    <row r="164" spans="1:8" x14ac:dyDescent="0.25">
      <c r="A164" t="s">
        <v>661</v>
      </c>
      <c r="B164" t="str">
        <f t="shared" si="5"/>
        <v>1991</v>
      </c>
      <c r="C164" t="str">
        <f t="shared" si="6"/>
        <v>05</v>
      </c>
      <c r="D164">
        <v>-7.4950000000000001</v>
      </c>
      <c r="E164">
        <v>119.423</v>
      </c>
      <c r="F164">
        <v>272.39999999999998</v>
      </c>
      <c r="G164">
        <v>4.5</v>
      </c>
      <c r="H164">
        <v>4.5</v>
      </c>
    </row>
    <row r="165" spans="1:8" x14ac:dyDescent="0.25">
      <c r="A165" t="s">
        <v>665</v>
      </c>
      <c r="B165" t="str">
        <f t="shared" si="5"/>
        <v>1991</v>
      </c>
      <c r="C165" t="str">
        <f t="shared" si="6"/>
        <v>06</v>
      </c>
      <c r="D165">
        <v>-7.2039999999999997</v>
      </c>
      <c r="E165">
        <v>122.533</v>
      </c>
      <c r="F165">
        <v>536.4</v>
      </c>
      <c r="G165">
        <v>6.9</v>
      </c>
      <c r="H165">
        <v>6.9</v>
      </c>
    </row>
    <row r="166" spans="1:8" x14ac:dyDescent="0.25">
      <c r="A166" t="s">
        <v>669</v>
      </c>
      <c r="B166" t="str">
        <f t="shared" si="5"/>
        <v>1991</v>
      </c>
      <c r="C166" t="str">
        <f t="shared" si="6"/>
        <v>07</v>
      </c>
      <c r="D166">
        <v>-7.2359999999999998</v>
      </c>
      <c r="E166">
        <v>122.354</v>
      </c>
      <c r="F166">
        <v>550</v>
      </c>
      <c r="G166">
        <v>5.3</v>
      </c>
      <c r="H166">
        <v>5.3</v>
      </c>
    </row>
    <row r="167" spans="1:8" x14ac:dyDescent="0.25">
      <c r="A167" t="s">
        <v>673</v>
      </c>
      <c r="B167" t="str">
        <f t="shared" si="5"/>
        <v>1991</v>
      </c>
      <c r="C167" t="str">
        <f t="shared" si="6"/>
        <v>08</v>
      </c>
      <c r="D167">
        <v>-6.9180000000000001</v>
      </c>
      <c r="E167">
        <v>124.67700000000001</v>
      </c>
      <c r="F167">
        <v>579.79999999999995</v>
      </c>
      <c r="G167">
        <v>4.5</v>
      </c>
      <c r="H167">
        <v>4.5</v>
      </c>
    </row>
    <row r="168" spans="1:8" x14ac:dyDescent="0.25">
      <c r="A168" t="s">
        <v>677</v>
      </c>
      <c r="B168" t="str">
        <f t="shared" si="5"/>
        <v>1991</v>
      </c>
      <c r="C168" t="str">
        <f t="shared" si="6"/>
        <v>09</v>
      </c>
      <c r="D168">
        <v>-7.22</v>
      </c>
      <c r="E168">
        <v>123.76900000000001</v>
      </c>
      <c r="F168">
        <v>604.4</v>
      </c>
      <c r="G168">
        <v>5.0999999999999996</v>
      </c>
      <c r="H168">
        <v>5.0999999999999996</v>
      </c>
    </row>
    <row r="169" spans="1:8" x14ac:dyDescent="0.25">
      <c r="A169" t="s">
        <v>681</v>
      </c>
      <c r="B169" t="str">
        <f t="shared" si="5"/>
        <v>1991</v>
      </c>
      <c r="C169" t="str">
        <f t="shared" si="6"/>
        <v>09</v>
      </c>
      <c r="D169">
        <v>-6.8849999999999998</v>
      </c>
      <c r="E169">
        <v>125.24299999999999</v>
      </c>
      <c r="F169">
        <v>556.29999999999995</v>
      </c>
      <c r="G169">
        <v>5</v>
      </c>
      <c r="H169">
        <v>5</v>
      </c>
    </row>
    <row r="170" spans="1:8" x14ac:dyDescent="0.25">
      <c r="A170" t="s">
        <v>685</v>
      </c>
      <c r="B170" t="str">
        <f t="shared" si="5"/>
        <v>1991</v>
      </c>
      <c r="C170" t="str">
        <f t="shared" si="6"/>
        <v>09</v>
      </c>
      <c r="D170">
        <v>-7.22</v>
      </c>
      <c r="E170">
        <v>125.15300000000001</v>
      </c>
      <c r="F170">
        <v>401.7</v>
      </c>
      <c r="G170">
        <v>4.8</v>
      </c>
      <c r="H170">
        <v>4.8</v>
      </c>
    </row>
    <row r="171" spans="1:8" x14ac:dyDescent="0.25">
      <c r="A171" t="s">
        <v>689</v>
      </c>
      <c r="B171" t="str">
        <f t="shared" si="5"/>
        <v>1991</v>
      </c>
      <c r="C171" t="str">
        <f t="shared" si="6"/>
        <v>09</v>
      </c>
      <c r="D171">
        <v>-7.3869999999999996</v>
      </c>
      <c r="E171">
        <v>119.468</v>
      </c>
      <c r="F171">
        <v>242.1</v>
      </c>
      <c r="G171">
        <v>4.9000000000000004</v>
      </c>
      <c r="H171">
        <v>4.9000000000000004</v>
      </c>
    </row>
    <row r="172" spans="1:8" x14ac:dyDescent="0.25">
      <c r="A172" t="s">
        <v>693</v>
      </c>
      <c r="B172" t="str">
        <f t="shared" si="5"/>
        <v>1991</v>
      </c>
      <c r="C172" t="str">
        <f t="shared" si="6"/>
        <v>12</v>
      </c>
      <c r="D172">
        <v>-6.7480000000000002</v>
      </c>
      <c r="E172">
        <v>125.25</v>
      </c>
      <c r="F172">
        <v>533.1</v>
      </c>
      <c r="G172">
        <v>4.9000000000000004</v>
      </c>
      <c r="H172">
        <v>4.9000000000000004</v>
      </c>
    </row>
    <row r="173" spans="1:8" x14ac:dyDescent="0.25">
      <c r="A173" t="s">
        <v>697</v>
      </c>
      <c r="B173" t="str">
        <f t="shared" si="5"/>
        <v>1991</v>
      </c>
      <c r="C173" t="str">
        <f t="shared" si="6"/>
        <v>12</v>
      </c>
      <c r="D173">
        <v>-7.149</v>
      </c>
      <c r="E173">
        <v>125.17400000000001</v>
      </c>
      <c r="F173">
        <v>525.20000000000005</v>
      </c>
      <c r="G173">
        <v>4.8</v>
      </c>
      <c r="H173">
        <v>4.8</v>
      </c>
    </row>
    <row r="174" spans="1:8" x14ac:dyDescent="0.25">
      <c r="A174" t="s">
        <v>701</v>
      </c>
      <c r="B174" t="str">
        <f t="shared" si="5"/>
        <v>1991</v>
      </c>
      <c r="C174" t="str">
        <f t="shared" si="6"/>
        <v>12</v>
      </c>
      <c r="D174">
        <v>-7.5330000000000004</v>
      </c>
      <c r="E174">
        <v>122.83799999999999</v>
      </c>
      <c r="F174">
        <v>262</v>
      </c>
      <c r="G174">
        <v>4.5999999999999996</v>
      </c>
      <c r="H174">
        <v>4.5999999999999996</v>
      </c>
    </row>
    <row r="175" spans="1:8" x14ac:dyDescent="0.25">
      <c r="A175" t="s">
        <v>705</v>
      </c>
      <c r="B175" t="str">
        <f t="shared" si="5"/>
        <v>1992</v>
      </c>
      <c r="C175" t="str">
        <f t="shared" si="6"/>
        <v>03</v>
      </c>
      <c r="D175">
        <v>-7.28</v>
      </c>
      <c r="E175">
        <v>122.46299999999999</v>
      </c>
      <c r="F175">
        <v>556.4</v>
      </c>
      <c r="G175">
        <v>5</v>
      </c>
      <c r="H175">
        <v>5</v>
      </c>
    </row>
    <row r="176" spans="1:8" x14ac:dyDescent="0.25">
      <c r="A176" t="s">
        <v>709</v>
      </c>
      <c r="B176" t="str">
        <f t="shared" si="5"/>
        <v>1992</v>
      </c>
      <c r="C176" t="str">
        <f t="shared" si="6"/>
        <v>03</v>
      </c>
      <c r="D176">
        <v>-7.4450000000000003</v>
      </c>
      <c r="E176">
        <v>124.732</v>
      </c>
      <c r="F176">
        <v>386.7</v>
      </c>
      <c r="G176">
        <v>5.0999999999999996</v>
      </c>
      <c r="H176">
        <v>5.0999999999999996</v>
      </c>
    </row>
    <row r="177" spans="1:8" x14ac:dyDescent="0.25">
      <c r="A177" t="s">
        <v>713</v>
      </c>
      <c r="B177" t="str">
        <f t="shared" si="5"/>
        <v>1992</v>
      </c>
      <c r="C177" t="str">
        <f t="shared" si="6"/>
        <v>03</v>
      </c>
      <c r="D177">
        <v>-7.0990000000000002</v>
      </c>
      <c r="E177">
        <v>124.19499999999999</v>
      </c>
      <c r="F177">
        <v>610.70000000000005</v>
      </c>
      <c r="G177">
        <v>5.2</v>
      </c>
      <c r="H177">
        <v>5.2</v>
      </c>
    </row>
    <row r="178" spans="1:8" x14ac:dyDescent="0.25">
      <c r="A178" t="s">
        <v>717</v>
      </c>
      <c r="B178" t="str">
        <f t="shared" si="5"/>
        <v>1992</v>
      </c>
      <c r="C178" t="str">
        <f t="shared" si="6"/>
        <v>04</v>
      </c>
      <c r="D178">
        <v>-6.5090000000000003</v>
      </c>
      <c r="E178">
        <v>124.31699999999999</v>
      </c>
      <c r="F178">
        <v>597.4</v>
      </c>
      <c r="G178">
        <v>4.9000000000000004</v>
      </c>
      <c r="H178">
        <v>4.9000000000000004</v>
      </c>
    </row>
    <row r="179" spans="1:8" x14ac:dyDescent="0.25">
      <c r="A179" t="s">
        <v>721</v>
      </c>
      <c r="B179" t="str">
        <f t="shared" si="5"/>
        <v>1992</v>
      </c>
      <c r="C179" t="str">
        <f t="shared" si="6"/>
        <v>05</v>
      </c>
      <c r="D179">
        <v>-7.4279999999999999</v>
      </c>
      <c r="E179">
        <v>125.233</v>
      </c>
      <c r="F179">
        <v>326</v>
      </c>
      <c r="G179">
        <v>4.5</v>
      </c>
      <c r="H179">
        <v>4.5</v>
      </c>
    </row>
    <row r="180" spans="1:8" x14ac:dyDescent="0.25">
      <c r="A180" t="s">
        <v>725</v>
      </c>
      <c r="B180" t="str">
        <f t="shared" si="5"/>
        <v>1992</v>
      </c>
      <c r="C180" t="str">
        <f t="shared" si="6"/>
        <v>06</v>
      </c>
      <c r="D180">
        <v>-7.1440000000000001</v>
      </c>
      <c r="E180">
        <v>125.09099999999999</v>
      </c>
      <c r="F180">
        <v>507.7</v>
      </c>
      <c r="G180">
        <v>4.9000000000000004</v>
      </c>
      <c r="H180">
        <v>4.9000000000000004</v>
      </c>
    </row>
    <row r="181" spans="1:8" x14ac:dyDescent="0.25">
      <c r="A181" t="s">
        <v>729</v>
      </c>
      <c r="B181" t="str">
        <f t="shared" si="5"/>
        <v>1992</v>
      </c>
      <c r="C181" t="str">
        <f t="shared" si="6"/>
        <v>07</v>
      </c>
      <c r="D181">
        <v>-7.1130000000000004</v>
      </c>
      <c r="E181">
        <v>125.063</v>
      </c>
      <c r="F181">
        <v>492.4</v>
      </c>
      <c r="G181">
        <v>5.2</v>
      </c>
      <c r="H181">
        <v>5.2</v>
      </c>
    </row>
    <row r="182" spans="1:8" x14ac:dyDescent="0.25">
      <c r="A182" t="s">
        <v>733</v>
      </c>
      <c r="B182" t="str">
        <f t="shared" si="5"/>
        <v>1992</v>
      </c>
      <c r="C182" t="str">
        <f t="shared" si="6"/>
        <v>08</v>
      </c>
      <c r="D182">
        <v>-7.1260000000000003</v>
      </c>
      <c r="E182">
        <v>121.748</v>
      </c>
      <c r="F182">
        <v>485.9</v>
      </c>
      <c r="G182">
        <v>6.6</v>
      </c>
      <c r="H182">
        <v>6.6</v>
      </c>
    </row>
    <row r="183" spans="1:8" x14ac:dyDescent="0.25">
      <c r="A183" t="s">
        <v>738</v>
      </c>
      <c r="B183" t="str">
        <f t="shared" si="5"/>
        <v>1992</v>
      </c>
      <c r="C183" t="str">
        <f t="shared" si="6"/>
        <v>09</v>
      </c>
      <c r="D183">
        <v>-7.32</v>
      </c>
      <c r="E183">
        <v>120.35599999999999</v>
      </c>
      <c r="F183">
        <v>638.5</v>
      </c>
      <c r="G183">
        <v>5</v>
      </c>
      <c r="H183">
        <v>5</v>
      </c>
    </row>
    <row r="184" spans="1:8" x14ac:dyDescent="0.25">
      <c r="A184" t="s">
        <v>741</v>
      </c>
      <c r="B184" t="str">
        <f t="shared" si="5"/>
        <v>1992</v>
      </c>
      <c r="C184" t="str">
        <f t="shared" si="6"/>
        <v>10</v>
      </c>
      <c r="D184">
        <v>-7.407</v>
      </c>
      <c r="E184">
        <v>120.321</v>
      </c>
      <c r="F184">
        <v>657.6</v>
      </c>
      <c r="G184">
        <v>4.7</v>
      </c>
      <c r="H184">
        <v>4.7</v>
      </c>
    </row>
    <row r="185" spans="1:8" x14ac:dyDescent="0.25">
      <c r="A185" t="s">
        <v>744</v>
      </c>
      <c r="B185" t="str">
        <f t="shared" si="5"/>
        <v>1992</v>
      </c>
      <c r="C185" t="str">
        <f t="shared" si="6"/>
        <v>12</v>
      </c>
      <c r="D185">
        <v>-7.3179999999999996</v>
      </c>
      <c r="E185">
        <v>120.33799999999999</v>
      </c>
      <c r="F185">
        <v>398.9</v>
      </c>
      <c r="G185">
        <v>4.7</v>
      </c>
      <c r="H185">
        <v>4.7</v>
      </c>
    </row>
    <row r="186" spans="1:8" x14ac:dyDescent="0.25">
      <c r="A186" t="s">
        <v>747</v>
      </c>
      <c r="B186" t="str">
        <f t="shared" si="5"/>
        <v>1992</v>
      </c>
      <c r="C186" t="str">
        <f t="shared" si="6"/>
        <v>12</v>
      </c>
      <c r="D186">
        <v>-7.0259999999999998</v>
      </c>
      <c r="E186">
        <v>122.97</v>
      </c>
      <c r="F186">
        <v>33</v>
      </c>
      <c r="G186">
        <v>4.7</v>
      </c>
      <c r="H186">
        <v>4.7</v>
      </c>
    </row>
    <row r="187" spans="1:8" x14ac:dyDescent="0.25">
      <c r="A187" t="s">
        <v>751</v>
      </c>
      <c r="B187" t="str">
        <f t="shared" si="5"/>
        <v>1992</v>
      </c>
      <c r="C187" t="str">
        <f t="shared" si="6"/>
        <v>12</v>
      </c>
      <c r="D187">
        <v>-7.5289999999999999</v>
      </c>
      <c r="E187">
        <v>120.803</v>
      </c>
      <c r="F187">
        <v>39.4</v>
      </c>
      <c r="G187">
        <v>4.9000000000000004</v>
      </c>
      <c r="H187">
        <v>4.9000000000000004</v>
      </c>
    </row>
    <row r="188" spans="1:8" x14ac:dyDescent="0.25">
      <c r="A188" t="s">
        <v>755</v>
      </c>
      <c r="B188" t="str">
        <f t="shared" si="5"/>
        <v>1993</v>
      </c>
      <c r="C188" t="str">
        <f t="shared" si="6"/>
        <v>06</v>
      </c>
      <c r="D188">
        <v>-4.548</v>
      </c>
      <c r="E188">
        <v>119.94799999999999</v>
      </c>
      <c r="F188">
        <v>60</v>
      </c>
      <c r="G188">
        <v>5</v>
      </c>
      <c r="H188">
        <v>5</v>
      </c>
    </row>
    <row r="189" spans="1:8" x14ac:dyDescent="0.25">
      <c r="A189" t="s">
        <v>759</v>
      </c>
      <c r="B189" t="str">
        <f t="shared" si="5"/>
        <v>1993</v>
      </c>
      <c r="C189" t="str">
        <f t="shared" si="6"/>
        <v>06</v>
      </c>
      <c r="D189">
        <v>-5.2430000000000003</v>
      </c>
      <c r="E189">
        <v>123.535</v>
      </c>
      <c r="F189">
        <v>33</v>
      </c>
      <c r="G189">
        <v>5</v>
      </c>
      <c r="H189">
        <v>5</v>
      </c>
    </row>
    <row r="190" spans="1:8" x14ac:dyDescent="0.25">
      <c r="A190" t="s">
        <v>763</v>
      </c>
      <c r="B190" t="str">
        <f t="shared" si="5"/>
        <v>1993</v>
      </c>
      <c r="C190" t="str">
        <f t="shared" si="6"/>
        <v>06</v>
      </c>
      <c r="D190">
        <v>-7.4930000000000003</v>
      </c>
      <c r="E190">
        <v>118.962</v>
      </c>
      <c r="F190">
        <v>39.799999999999997</v>
      </c>
      <c r="G190">
        <v>4.8</v>
      </c>
      <c r="H190">
        <v>4.8</v>
      </c>
    </row>
    <row r="191" spans="1:8" x14ac:dyDescent="0.25">
      <c r="A191" t="s">
        <v>767</v>
      </c>
      <c r="B191" t="str">
        <f t="shared" si="5"/>
        <v>1993</v>
      </c>
      <c r="C191" t="str">
        <f t="shared" si="6"/>
        <v>06</v>
      </c>
      <c r="D191">
        <v>-7.1769999999999996</v>
      </c>
      <c r="E191">
        <v>120.27200000000001</v>
      </c>
      <c r="F191">
        <v>585.70000000000005</v>
      </c>
      <c r="G191">
        <v>4.9000000000000004</v>
      </c>
      <c r="H191">
        <v>4.9000000000000004</v>
      </c>
    </row>
    <row r="192" spans="1:8" x14ac:dyDescent="0.25">
      <c r="A192" t="s">
        <v>770</v>
      </c>
      <c r="B192" t="str">
        <f t="shared" si="5"/>
        <v>1993</v>
      </c>
      <c r="C192" t="str">
        <f t="shared" si="6"/>
        <v>08</v>
      </c>
      <c r="D192">
        <v>-6.069</v>
      </c>
      <c r="E192">
        <v>125.06399999999999</v>
      </c>
      <c r="F192">
        <v>592.5</v>
      </c>
      <c r="G192">
        <v>5.0999999999999996</v>
      </c>
      <c r="H192">
        <v>5.0999999999999996</v>
      </c>
    </row>
    <row r="193" spans="1:8" x14ac:dyDescent="0.25">
      <c r="A193" t="s">
        <v>774</v>
      </c>
      <c r="B193" t="str">
        <f t="shared" si="5"/>
        <v>1993</v>
      </c>
      <c r="C193" t="str">
        <f t="shared" si="6"/>
        <v>09</v>
      </c>
      <c r="D193">
        <v>-6.8179999999999996</v>
      </c>
      <c r="E193">
        <v>125.246</v>
      </c>
      <c r="F193">
        <v>525.4</v>
      </c>
      <c r="G193">
        <v>4.8</v>
      </c>
      <c r="H193">
        <v>4.8</v>
      </c>
    </row>
    <row r="194" spans="1:8" x14ac:dyDescent="0.25">
      <c r="A194" t="s">
        <v>778</v>
      </c>
      <c r="B194" t="str">
        <f t="shared" si="5"/>
        <v>1993</v>
      </c>
      <c r="C194" t="str">
        <f t="shared" si="6"/>
        <v>10</v>
      </c>
      <c r="D194">
        <v>-7.2750000000000004</v>
      </c>
      <c r="E194">
        <v>119.75</v>
      </c>
      <c r="F194">
        <v>447.8</v>
      </c>
      <c r="G194">
        <v>5.0999999999999996</v>
      </c>
      <c r="H194">
        <v>5.0999999999999996</v>
      </c>
    </row>
    <row r="195" spans="1:8" x14ac:dyDescent="0.25">
      <c r="A195" t="s">
        <v>782</v>
      </c>
      <c r="B195" t="str">
        <f t="shared" ref="B195:B258" si="7">LEFT(A195,4)</f>
        <v>1994</v>
      </c>
      <c r="C195" t="str">
        <f t="shared" ref="C195:C258" si="8">MID(A195,6,2)</f>
        <v>03</v>
      </c>
      <c r="D195">
        <v>-6.09</v>
      </c>
      <c r="E195">
        <v>123.489</v>
      </c>
      <c r="F195">
        <v>638.4</v>
      </c>
      <c r="G195">
        <v>4.7</v>
      </c>
      <c r="H195">
        <v>4.7</v>
      </c>
    </row>
    <row r="196" spans="1:8" x14ac:dyDescent="0.25">
      <c r="A196" t="s">
        <v>786</v>
      </c>
      <c r="B196" t="str">
        <f t="shared" si="7"/>
        <v>1994</v>
      </c>
      <c r="C196" t="str">
        <f t="shared" si="8"/>
        <v>04</v>
      </c>
      <c r="D196">
        <v>-7.2619999999999996</v>
      </c>
      <c r="E196">
        <v>119.17</v>
      </c>
      <c r="F196">
        <v>606.29999999999995</v>
      </c>
      <c r="G196">
        <v>4.9000000000000004</v>
      </c>
      <c r="H196">
        <v>4.9000000000000004</v>
      </c>
    </row>
    <row r="197" spans="1:8" x14ac:dyDescent="0.25">
      <c r="A197" t="s">
        <v>790</v>
      </c>
      <c r="B197" t="str">
        <f t="shared" si="7"/>
        <v>1994</v>
      </c>
      <c r="C197" t="str">
        <f t="shared" si="8"/>
        <v>04</v>
      </c>
      <c r="D197">
        <v>-7.2640000000000002</v>
      </c>
      <c r="E197">
        <v>120.425</v>
      </c>
      <c r="F197">
        <v>553.1</v>
      </c>
      <c r="G197">
        <v>5</v>
      </c>
      <c r="H197">
        <v>5</v>
      </c>
    </row>
    <row r="198" spans="1:8" x14ac:dyDescent="0.25">
      <c r="A198" t="s">
        <v>793</v>
      </c>
      <c r="B198" t="str">
        <f t="shared" si="7"/>
        <v>1994</v>
      </c>
      <c r="C198" t="str">
        <f t="shared" si="8"/>
        <v>05</v>
      </c>
      <c r="D198">
        <v>-7.2910000000000004</v>
      </c>
      <c r="E198">
        <v>123.36199999999999</v>
      </c>
      <c r="F198">
        <v>601.5</v>
      </c>
      <c r="G198">
        <v>4.8</v>
      </c>
      <c r="H198">
        <v>4.8</v>
      </c>
    </row>
    <row r="199" spans="1:8" x14ac:dyDescent="0.25">
      <c r="A199" t="s">
        <v>797</v>
      </c>
      <c r="B199" t="str">
        <f t="shared" si="7"/>
        <v>1994</v>
      </c>
      <c r="C199" t="str">
        <f t="shared" si="8"/>
        <v>06</v>
      </c>
      <c r="D199">
        <v>-7.5350000000000001</v>
      </c>
      <c r="E199">
        <v>120.074</v>
      </c>
      <c r="F199">
        <v>414.7</v>
      </c>
      <c r="G199">
        <v>5</v>
      </c>
      <c r="H199">
        <v>5</v>
      </c>
    </row>
    <row r="200" spans="1:8" x14ac:dyDescent="0.25">
      <c r="A200" t="s">
        <v>801</v>
      </c>
      <c r="B200" t="str">
        <f t="shared" si="7"/>
        <v>1994</v>
      </c>
      <c r="C200" t="str">
        <f t="shared" si="8"/>
        <v>07</v>
      </c>
      <c r="D200">
        <v>-7.3869999999999996</v>
      </c>
      <c r="E200">
        <v>119.771</v>
      </c>
      <c r="F200">
        <v>433.6</v>
      </c>
      <c r="G200">
        <v>5.0999999999999996</v>
      </c>
      <c r="H200">
        <v>5.0999999999999996</v>
      </c>
    </row>
    <row r="201" spans="1:8" x14ac:dyDescent="0.25">
      <c r="A201" t="s">
        <v>805</v>
      </c>
      <c r="B201" t="str">
        <f t="shared" si="7"/>
        <v>1994</v>
      </c>
      <c r="C201" t="str">
        <f t="shared" si="8"/>
        <v>08</v>
      </c>
      <c r="D201">
        <v>-7.2140000000000004</v>
      </c>
      <c r="E201">
        <v>120.501</v>
      </c>
      <c r="F201">
        <v>551.4</v>
      </c>
      <c r="G201">
        <v>4.9000000000000004</v>
      </c>
      <c r="H201">
        <v>4.9000000000000004</v>
      </c>
    </row>
    <row r="202" spans="1:8" x14ac:dyDescent="0.25">
      <c r="A202" t="s">
        <v>809</v>
      </c>
      <c r="B202" t="str">
        <f t="shared" si="7"/>
        <v>1994</v>
      </c>
      <c r="C202" t="str">
        <f t="shared" si="8"/>
        <v>08</v>
      </c>
      <c r="D202">
        <v>-6.9649999999999999</v>
      </c>
      <c r="E202">
        <v>124.111</v>
      </c>
      <c r="F202">
        <v>595.6</v>
      </c>
      <c r="G202">
        <v>6.2</v>
      </c>
      <c r="H202">
        <v>6.2</v>
      </c>
    </row>
    <row r="203" spans="1:8" x14ac:dyDescent="0.25">
      <c r="A203" t="s">
        <v>813</v>
      </c>
      <c r="B203" t="str">
        <f t="shared" si="7"/>
        <v>1995</v>
      </c>
      <c r="C203" t="str">
        <f t="shared" si="8"/>
        <v>01</v>
      </c>
      <c r="D203">
        <v>-6.9160000000000004</v>
      </c>
      <c r="E203">
        <v>118.723</v>
      </c>
      <c r="F203">
        <v>149.69999999999999</v>
      </c>
      <c r="G203">
        <v>4.5999999999999996</v>
      </c>
      <c r="H203">
        <v>4.5999999999999996</v>
      </c>
    </row>
    <row r="204" spans="1:8" x14ac:dyDescent="0.25">
      <c r="A204" t="s">
        <v>817</v>
      </c>
      <c r="B204" t="str">
        <f t="shared" si="7"/>
        <v>1995</v>
      </c>
      <c r="C204" t="str">
        <f t="shared" si="8"/>
        <v>02</v>
      </c>
      <c r="D204">
        <v>-7.2990000000000004</v>
      </c>
      <c r="E204">
        <v>122.363</v>
      </c>
      <c r="F204">
        <v>494.5</v>
      </c>
      <c r="G204">
        <v>4.5999999999999996</v>
      </c>
      <c r="H204">
        <v>4.5999999999999996</v>
      </c>
    </row>
    <row r="205" spans="1:8" x14ac:dyDescent="0.25">
      <c r="A205" t="s">
        <v>821</v>
      </c>
      <c r="B205" t="str">
        <f t="shared" si="7"/>
        <v>1995</v>
      </c>
      <c r="C205" t="str">
        <f t="shared" si="8"/>
        <v>05</v>
      </c>
      <c r="D205">
        <v>-5.8650000000000002</v>
      </c>
      <c r="E205">
        <v>125.163</v>
      </c>
      <c r="F205">
        <v>583.1</v>
      </c>
      <c r="G205">
        <v>4.5999999999999996</v>
      </c>
      <c r="H205">
        <v>4.5999999999999996</v>
      </c>
    </row>
    <row r="206" spans="1:8" x14ac:dyDescent="0.25">
      <c r="A206" t="s">
        <v>824</v>
      </c>
      <c r="B206" t="str">
        <f t="shared" si="7"/>
        <v>1995</v>
      </c>
      <c r="C206" t="str">
        <f t="shared" si="8"/>
        <v>05</v>
      </c>
      <c r="D206">
        <v>-7.08</v>
      </c>
      <c r="E206">
        <v>125.117</v>
      </c>
      <c r="F206">
        <v>520.6</v>
      </c>
      <c r="G206">
        <v>4.9000000000000004</v>
      </c>
      <c r="H206">
        <v>4.9000000000000004</v>
      </c>
    </row>
    <row r="207" spans="1:8" x14ac:dyDescent="0.25">
      <c r="A207" t="s">
        <v>828</v>
      </c>
      <c r="B207" t="str">
        <f t="shared" si="7"/>
        <v>1995</v>
      </c>
      <c r="C207" t="str">
        <f t="shared" si="8"/>
        <v>05</v>
      </c>
      <c r="D207">
        <v>-6.992</v>
      </c>
      <c r="E207">
        <v>123.66500000000001</v>
      </c>
      <c r="F207">
        <v>630.6</v>
      </c>
      <c r="G207">
        <v>5.2</v>
      </c>
      <c r="H207">
        <v>5.2</v>
      </c>
    </row>
    <row r="208" spans="1:8" x14ac:dyDescent="0.25">
      <c r="A208" t="s">
        <v>832</v>
      </c>
      <c r="B208" t="str">
        <f t="shared" si="7"/>
        <v>1995</v>
      </c>
      <c r="C208" t="str">
        <f t="shared" si="8"/>
        <v>08</v>
      </c>
      <c r="D208">
        <v>-6.992</v>
      </c>
      <c r="E208">
        <v>124.84099999999999</v>
      </c>
      <c r="F208">
        <v>572.29999999999995</v>
      </c>
      <c r="G208">
        <v>4.5999999999999996</v>
      </c>
      <c r="H208">
        <v>4.5999999999999996</v>
      </c>
    </row>
    <row r="209" spans="1:8" x14ac:dyDescent="0.25">
      <c r="A209" t="s">
        <v>836</v>
      </c>
      <c r="B209" t="str">
        <f t="shared" si="7"/>
        <v>1995</v>
      </c>
      <c r="C209" t="str">
        <f t="shared" si="8"/>
        <v>10</v>
      </c>
      <c r="D209">
        <v>-7.0810000000000004</v>
      </c>
      <c r="E209">
        <v>123.667</v>
      </c>
      <c r="F209">
        <v>637.70000000000005</v>
      </c>
      <c r="G209">
        <v>5.6</v>
      </c>
      <c r="H209">
        <v>5.6</v>
      </c>
    </row>
    <row r="210" spans="1:8" x14ac:dyDescent="0.25">
      <c r="A210" t="s">
        <v>840</v>
      </c>
      <c r="B210" t="str">
        <f t="shared" si="7"/>
        <v>1995</v>
      </c>
      <c r="C210" t="str">
        <f t="shared" si="8"/>
        <v>10</v>
      </c>
      <c r="D210">
        <v>-6.9059999999999997</v>
      </c>
      <c r="E210">
        <v>123.47799999999999</v>
      </c>
      <c r="F210">
        <v>610.1</v>
      </c>
      <c r="G210">
        <v>4.9000000000000004</v>
      </c>
      <c r="H210">
        <v>4.9000000000000004</v>
      </c>
    </row>
    <row r="211" spans="1:8" x14ac:dyDescent="0.25">
      <c r="A211" t="s">
        <v>844</v>
      </c>
      <c r="B211" t="str">
        <f t="shared" si="7"/>
        <v>1995</v>
      </c>
      <c r="C211" t="str">
        <f t="shared" si="8"/>
        <v>12</v>
      </c>
      <c r="D211">
        <v>-7.26</v>
      </c>
      <c r="E211">
        <v>120.30800000000001</v>
      </c>
      <c r="F211">
        <v>600</v>
      </c>
      <c r="G211">
        <v>4.7</v>
      </c>
      <c r="H211">
        <v>4.7</v>
      </c>
    </row>
    <row r="212" spans="1:8" x14ac:dyDescent="0.25">
      <c r="A212" t="s">
        <v>847</v>
      </c>
      <c r="B212" t="str">
        <f t="shared" si="7"/>
        <v>1996</v>
      </c>
      <c r="C212" t="str">
        <f t="shared" si="8"/>
        <v>01</v>
      </c>
      <c r="D212">
        <v>-7.0709999999999997</v>
      </c>
      <c r="E212">
        <v>123.28400000000001</v>
      </c>
      <c r="F212">
        <v>610.1</v>
      </c>
      <c r="G212">
        <v>4.7</v>
      </c>
      <c r="H212">
        <v>4.7</v>
      </c>
    </row>
    <row r="213" spans="1:8" x14ac:dyDescent="0.25">
      <c r="A213" t="s">
        <v>851</v>
      </c>
      <c r="B213" t="str">
        <f t="shared" si="7"/>
        <v>1996</v>
      </c>
      <c r="C213" t="str">
        <f t="shared" si="8"/>
        <v>01</v>
      </c>
      <c r="D213">
        <v>-6.9219999999999997</v>
      </c>
      <c r="E213">
        <v>125.256</v>
      </c>
      <c r="F213">
        <v>523.70000000000005</v>
      </c>
      <c r="G213">
        <v>5.2</v>
      </c>
      <c r="H213">
        <v>5.2</v>
      </c>
    </row>
    <row r="214" spans="1:8" x14ac:dyDescent="0.25">
      <c r="A214" t="s">
        <v>855</v>
      </c>
      <c r="B214" t="str">
        <f t="shared" si="7"/>
        <v>1996</v>
      </c>
      <c r="C214" t="str">
        <f t="shared" si="8"/>
        <v>01</v>
      </c>
      <c r="D214">
        <v>-7.0250000000000004</v>
      </c>
      <c r="E214">
        <v>124.795</v>
      </c>
      <c r="F214">
        <v>516</v>
      </c>
      <c r="G214">
        <v>4.8</v>
      </c>
      <c r="H214">
        <v>4.8</v>
      </c>
    </row>
    <row r="215" spans="1:8" x14ac:dyDescent="0.25">
      <c r="A215" t="s">
        <v>858</v>
      </c>
      <c r="B215" t="str">
        <f t="shared" si="7"/>
        <v>1996</v>
      </c>
      <c r="C215" t="str">
        <f t="shared" si="8"/>
        <v>02</v>
      </c>
      <c r="D215">
        <v>-6.9450000000000003</v>
      </c>
      <c r="E215">
        <v>125.194</v>
      </c>
      <c r="F215">
        <v>532.1</v>
      </c>
      <c r="G215">
        <v>5.8</v>
      </c>
      <c r="H215">
        <v>5.8</v>
      </c>
    </row>
    <row r="216" spans="1:8" x14ac:dyDescent="0.25">
      <c r="A216" t="s">
        <v>862</v>
      </c>
      <c r="B216" t="str">
        <f t="shared" si="7"/>
        <v>1996</v>
      </c>
      <c r="C216" t="str">
        <f t="shared" si="8"/>
        <v>06</v>
      </c>
      <c r="D216">
        <v>-7.1369999999999996</v>
      </c>
      <c r="E216">
        <v>122.589</v>
      </c>
      <c r="F216">
        <v>587.29999999999995</v>
      </c>
      <c r="G216">
        <v>7.9</v>
      </c>
      <c r="H216">
        <v>7.9</v>
      </c>
    </row>
    <row r="217" spans="1:8" x14ac:dyDescent="0.25">
      <c r="A217" t="s">
        <v>867</v>
      </c>
      <c r="B217" t="str">
        <f t="shared" si="7"/>
        <v>1996</v>
      </c>
      <c r="C217" t="str">
        <f t="shared" si="8"/>
        <v>06</v>
      </c>
      <c r="D217">
        <v>-7.4450000000000003</v>
      </c>
      <c r="E217">
        <v>122.691</v>
      </c>
      <c r="F217">
        <v>600</v>
      </c>
      <c r="G217">
        <v>5.2</v>
      </c>
      <c r="H217">
        <v>5.2</v>
      </c>
    </row>
    <row r="218" spans="1:8" x14ac:dyDescent="0.25">
      <c r="A218" t="s">
        <v>871</v>
      </c>
      <c r="B218" t="str">
        <f t="shared" si="7"/>
        <v>1996</v>
      </c>
      <c r="C218" t="str">
        <f t="shared" si="8"/>
        <v>06</v>
      </c>
      <c r="D218">
        <v>-7.2389999999999999</v>
      </c>
      <c r="E218">
        <v>122.209</v>
      </c>
      <c r="F218">
        <v>600</v>
      </c>
      <c r="G218">
        <v>4.7</v>
      </c>
      <c r="H218">
        <v>4.7</v>
      </c>
    </row>
    <row r="219" spans="1:8" x14ac:dyDescent="0.25">
      <c r="A219" t="s">
        <v>874</v>
      </c>
      <c r="B219" t="str">
        <f t="shared" si="7"/>
        <v>1996</v>
      </c>
      <c r="C219" t="str">
        <f t="shared" si="8"/>
        <v>06</v>
      </c>
      <c r="D219">
        <v>-7.1749999999999998</v>
      </c>
      <c r="E219">
        <v>122.92</v>
      </c>
      <c r="F219">
        <v>600</v>
      </c>
      <c r="G219">
        <v>4.5</v>
      </c>
      <c r="H219">
        <v>4.5</v>
      </c>
    </row>
    <row r="220" spans="1:8" x14ac:dyDescent="0.25">
      <c r="A220" t="s">
        <v>878</v>
      </c>
      <c r="B220" t="str">
        <f t="shared" si="7"/>
        <v>1996</v>
      </c>
      <c r="C220" t="str">
        <f t="shared" si="8"/>
        <v>06</v>
      </c>
      <c r="D220">
        <v>-7.3559999999999999</v>
      </c>
      <c r="E220">
        <v>122.297</v>
      </c>
      <c r="F220">
        <v>600</v>
      </c>
      <c r="G220">
        <v>4.5</v>
      </c>
      <c r="H220">
        <v>4.5</v>
      </c>
    </row>
    <row r="221" spans="1:8" x14ac:dyDescent="0.25">
      <c r="A221" t="s">
        <v>882</v>
      </c>
      <c r="B221" t="str">
        <f t="shared" si="7"/>
        <v>1996</v>
      </c>
      <c r="C221" t="str">
        <f t="shared" si="8"/>
        <v>06</v>
      </c>
      <c r="D221">
        <v>-7.2480000000000002</v>
      </c>
      <c r="E221">
        <v>122.892</v>
      </c>
      <c r="F221">
        <v>600</v>
      </c>
      <c r="G221">
        <v>5.0999999999999996</v>
      </c>
      <c r="H221">
        <v>5.0999999999999996</v>
      </c>
    </row>
    <row r="222" spans="1:8" x14ac:dyDescent="0.25">
      <c r="A222" t="s">
        <v>885</v>
      </c>
      <c r="B222" t="str">
        <f t="shared" si="7"/>
        <v>1996</v>
      </c>
      <c r="C222" t="str">
        <f t="shared" si="8"/>
        <v>06</v>
      </c>
      <c r="D222">
        <v>-7.4240000000000004</v>
      </c>
      <c r="E222">
        <v>122.40300000000001</v>
      </c>
      <c r="F222">
        <v>600</v>
      </c>
      <c r="G222">
        <v>4.5999999999999996</v>
      </c>
      <c r="H222">
        <v>4.5999999999999996</v>
      </c>
    </row>
    <row r="223" spans="1:8" x14ac:dyDescent="0.25">
      <c r="A223" t="s">
        <v>889</v>
      </c>
      <c r="B223" t="str">
        <f t="shared" si="7"/>
        <v>1996</v>
      </c>
      <c r="C223" t="str">
        <f t="shared" si="8"/>
        <v>06</v>
      </c>
      <c r="D223">
        <v>-7.1289999999999996</v>
      </c>
      <c r="E223">
        <v>122.34399999999999</v>
      </c>
      <c r="F223">
        <v>570.5</v>
      </c>
      <c r="G223">
        <v>5.3</v>
      </c>
      <c r="H223">
        <v>5.3</v>
      </c>
    </row>
    <row r="224" spans="1:8" x14ac:dyDescent="0.25">
      <c r="A224" t="s">
        <v>893</v>
      </c>
      <c r="B224" t="str">
        <f t="shared" si="7"/>
        <v>1996</v>
      </c>
      <c r="C224" t="str">
        <f t="shared" si="8"/>
        <v>07</v>
      </c>
      <c r="D224">
        <v>-7.1479999999999997</v>
      </c>
      <c r="E224">
        <v>122.395</v>
      </c>
      <c r="F224">
        <v>600</v>
      </c>
      <c r="G224">
        <v>5.4</v>
      </c>
      <c r="H224">
        <v>5.4</v>
      </c>
    </row>
    <row r="225" spans="1:8" x14ac:dyDescent="0.25">
      <c r="A225" t="s">
        <v>897</v>
      </c>
      <c r="B225" t="str">
        <f t="shared" si="7"/>
        <v>1996</v>
      </c>
      <c r="C225" t="str">
        <f t="shared" si="8"/>
        <v>08</v>
      </c>
      <c r="D225">
        <v>-6.5419999999999998</v>
      </c>
      <c r="E225">
        <v>123.163</v>
      </c>
      <c r="F225">
        <v>550</v>
      </c>
      <c r="G225">
        <v>5</v>
      </c>
      <c r="H225">
        <v>5</v>
      </c>
    </row>
    <row r="226" spans="1:8" x14ac:dyDescent="0.25">
      <c r="A226" t="s">
        <v>901</v>
      </c>
      <c r="B226" t="str">
        <f t="shared" si="7"/>
        <v>1996</v>
      </c>
      <c r="C226" t="str">
        <f t="shared" si="8"/>
        <v>08</v>
      </c>
      <c r="D226">
        <v>-7.1239999999999997</v>
      </c>
      <c r="E226">
        <v>123.27500000000001</v>
      </c>
      <c r="F226">
        <v>595.70000000000005</v>
      </c>
      <c r="G226">
        <v>6</v>
      </c>
      <c r="H226">
        <v>6</v>
      </c>
    </row>
    <row r="227" spans="1:8" x14ac:dyDescent="0.25">
      <c r="A227" t="s">
        <v>905</v>
      </c>
      <c r="B227" t="str">
        <f t="shared" si="7"/>
        <v>1996</v>
      </c>
      <c r="C227" t="str">
        <f t="shared" si="8"/>
        <v>10</v>
      </c>
      <c r="D227">
        <v>-7.2110000000000003</v>
      </c>
      <c r="E227">
        <v>124.142</v>
      </c>
      <c r="F227">
        <v>565.4</v>
      </c>
      <c r="G227">
        <v>4.7</v>
      </c>
      <c r="H227">
        <v>4.7</v>
      </c>
    </row>
    <row r="228" spans="1:8" x14ac:dyDescent="0.25">
      <c r="A228" t="s">
        <v>909</v>
      </c>
      <c r="B228" t="str">
        <f t="shared" si="7"/>
        <v>1996</v>
      </c>
      <c r="C228" t="str">
        <f t="shared" si="8"/>
        <v>10</v>
      </c>
      <c r="D228">
        <v>-7.2320000000000002</v>
      </c>
      <c r="E228">
        <v>122.979</v>
      </c>
      <c r="F228">
        <v>600</v>
      </c>
      <c r="G228">
        <v>4.8</v>
      </c>
      <c r="H228">
        <v>4.8</v>
      </c>
    </row>
    <row r="229" spans="1:8" x14ac:dyDescent="0.25">
      <c r="A229" t="s">
        <v>913</v>
      </c>
      <c r="B229" t="str">
        <f t="shared" si="7"/>
        <v>1997</v>
      </c>
      <c r="C229" t="str">
        <f t="shared" si="8"/>
        <v>01</v>
      </c>
      <c r="D229">
        <v>-7.0309999999999997</v>
      </c>
      <c r="E229">
        <v>124.117</v>
      </c>
      <c r="F229">
        <v>500</v>
      </c>
      <c r="G229">
        <v>4.8</v>
      </c>
      <c r="H229">
        <v>4.8</v>
      </c>
    </row>
    <row r="230" spans="1:8" x14ac:dyDescent="0.25">
      <c r="A230" t="s">
        <v>917</v>
      </c>
      <c r="B230" t="str">
        <f t="shared" si="7"/>
        <v>1997</v>
      </c>
      <c r="C230" t="str">
        <f t="shared" si="8"/>
        <v>01</v>
      </c>
      <c r="D230">
        <v>-7.1159999999999997</v>
      </c>
      <c r="E230">
        <v>122.61199999999999</v>
      </c>
      <c r="F230">
        <v>578.5</v>
      </c>
      <c r="G230">
        <v>5.3</v>
      </c>
      <c r="H230">
        <v>5.3</v>
      </c>
    </row>
    <row r="231" spans="1:8" x14ac:dyDescent="0.25">
      <c r="A231" t="s">
        <v>921</v>
      </c>
      <c r="B231" t="str">
        <f t="shared" si="7"/>
        <v>1997</v>
      </c>
      <c r="C231" t="str">
        <f t="shared" si="8"/>
        <v>01</v>
      </c>
      <c r="D231">
        <v>-7.032</v>
      </c>
      <c r="E231">
        <v>125.274</v>
      </c>
      <c r="F231">
        <v>550</v>
      </c>
      <c r="G231">
        <v>4.9000000000000004</v>
      </c>
      <c r="H231">
        <v>4.9000000000000004</v>
      </c>
    </row>
    <row r="232" spans="1:8" x14ac:dyDescent="0.25">
      <c r="A232" t="s">
        <v>925</v>
      </c>
      <c r="B232" t="str">
        <f t="shared" si="7"/>
        <v>1997</v>
      </c>
      <c r="C232" t="str">
        <f t="shared" si="8"/>
        <v>01</v>
      </c>
      <c r="D232">
        <v>-7.492</v>
      </c>
      <c r="E232">
        <v>120.902</v>
      </c>
      <c r="F232">
        <v>600</v>
      </c>
      <c r="G232">
        <v>4.8</v>
      </c>
      <c r="H232">
        <v>4.8</v>
      </c>
    </row>
    <row r="233" spans="1:8" x14ac:dyDescent="0.25">
      <c r="A233" t="s">
        <v>929</v>
      </c>
      <c r="B233" t="str">
        <f t="shared" si="7"/>
        <v>1997</v>
      </c>
      <c r="C233" t="str">
        <f t="shared" si="8"/>
        <v>03</v>
      </c>
      <c r="D233">
        <v>-7.2930000000000001</v>
      </c>
      <c r="E233">
        <v>120.968</v>
      </c>
      <c r="F233">
        <v>500</v>
      </c>
      <c r="G233">
        <v>4.8</v>
      </c>
      <c r="H233">
        <v>4.8</v>
      </c>
    </row>
    <row r="234" spans="1:8" x14ac:dyDescent="0.25">
      <c r="A234" t="s">
        <v>933</v>
      </c>
      <c r="B234" t="str">
        <f t="shared" si="7"/>
        <v>1997</v>
      </c>
      <c r="C234" t="str">
        <f t="shared" si="8"/>
        <v>03</v>
      </c>
      <c r="D234">
        <v>-5.6719999999999997</v>
      </c>
      <c r="E234">
        <v>123.94199999999999</v>
      </c>
      <c r="F234">
        <v>33</v>
      </c>
      <c r="G234">
        <v>4.5999999999999996</v>
      </c>
      <c r="H234">
        <v>4.5999999999999996</v>
      </c>
    </row>
    <row r="235" spans="1:8" x14ac:dyDescent="0.25">
      <c r="A235" t="s">
        <v>937</v>
      </c>
      <c r="B235" t="str">
        <f t="shared" si="7"/>
        <v>1997</v>
      </c>
      <c r="C235" t="str">
        <f t="shared" si="8"/>
        <v>04</v>
      </c>
      <c r="D235">
        <v>-7.2009999999999996</v>
      </c>
      <c r="E235">
        <v>120.146</v>
      </c>
      <c r="F235">
        <v>350</v>
      </c>
      <c r="G235">
        <v>4.5</v>
      </c>
      <c r="H235">
        <v>4.5</v>
      </c>
    </row>
    <row r="236" spans="1:8" x14ac:dyDescent="0.25">
      <c r="A236" t="s">
        <v>941</v>
      </c>
      <c r="B236" t="str">
        <f t="shared" si="7"/>
        <v>1997</v>
      </c>
      <c r="C236" t="str">
        <f t="shared" si="8"/>
        <v>05</v>
      </c>
      <c r="D236">
        <v>-7.375</v>
      </c>
      <c r="E236">
        <v>120.389</v>
      </c>
      <c r="F236">
        <v>100</v>
      </c>
      <c r="G236">
        <v>4.5</v>
      </c>
      <c r="H236">
        <v>4.5</v>
      </c>
    </row>
    <row r="237" spans="1:8" x14ac:dyDescent="0.25">
      <c r="A237" t="s">
        <v>944</v>
      </c>
      <c r="B237" t="str">
        <f t="shared" si="7"/>
        <v>1997</v>
      </c>
      <c r="C237" t="str">
        <f t="shared" si="8"/>
        <v>06</v>
      </c>
      <c r="D237">
        <v>-7.3609999999999998</v>
      </c>
      <c r="E237">
        <v>120.27200000000001</v>
      </c>
      <c r="F237">
        <v>440.2</v>
      </c>
      <c r="G237">
        <v>4.5</v>
      </c>
      <c r="H237">
        <v>4.5</v>
      </c>
    </row>
    <row r="238" spans="1:8" x14ac:dyDescent="0.25">
      <c r="A238" t="s">
        <v>948</v>
      </c>
      <c r="B238" t="str">
        <f t="shared" si="7"/>
        <v>1997</v>
      </c>
      <c r="C238" t="str">
        <f t="shared" si="8"/>
        <v>07</v>
      </c>
      <c r="D238">
        <v>-7.3090000000000002</v>
      </c>
      <c r="E238">
        <v>120.369</v>
      </c>
      <c r="F238">
        <v>586.5</v>
      </c>
      <c r="G238">
        <v>5.2</v>
      </c>
      <c r="H238">
        <v>5.2</v>
      </c>
    </row>
    <row r="239" spans="1:8" x14ac:dyDescent="0.25">
      <c r="A239" t="s">
        <v>951</v>
      </c>
      <c r="B239" t="str">
        <f t="shared" si="7"/>
        <v>1997</v>
      </c>
      <c r="C239" t="str">
        <f t="shared" si="8"/>
        <v>09</v>
      </c>
      <c r="D239">
        <v>-7.1970000000000001</v>
      </c>
      <c r="E239">
        <v>120.342</v>
      </c>
      <c r="F239">
        <v>600</v>
      </c>
      <c r="G239">
        <v>4.9000000000000004</v>
      </c>
      <c r="H239">
        <v>4.9000000000000004</v>
      </c>
    </row>
    <row r="240" spans="1:8" x14ac:dyDescent="0.25">
      <c r="A240" t="s">
        <v>954</v>
      </c>
      <c r="B240" t="str">
        <f t="shared" si="7"/>
        <v>1997</v>
      </c>
      <c r="C240" t="str">
        <f t="shared" si="8"/>
        <v>12</v>
      </c>
      <c r="D240">
        <v>-5.8680000000000003</v>
      </c>
      <c r="E240">
        <v>125.093</v>
      </c>
      <c r="F240">
        <v>33</v>
      </c>
      <c r="G240">
        <v>4.7</v>
      </c>
      <c r="H240">
        <v>4.7</v>
      </c>
    </row>
    <row r="241" spans="1:8" x14ac:dyDescent="0.25">
      <c r="A241" t="s">
        <v>957</v>
      </c>
      <c r="B241" t="str">
        <f t="shared" si="7"/>
        <v>1998</v>
      </c>
      <c r="C241" t="str">
        <f t="shared" si="8"/>
        <v>05</v>
      </c>
      <c r="D241">
        <v>-7.4560000000000004</v>
      </c>
      <c r="E241">
        <v>119.94499999999999</v>
      </c>
      <c r="F241">
        <v>450</v>
      </c>
      <c r="G241">
        <v>4.5999999999999996</v>
      </c>
      <c r="H241">
        <v>4.5999999999999996</v>
      </c>
    </row>
    <row r="242" spans="1:8" x14ac:dyDescent="0.25">
      <c r="A242" t="s">
        <v>961</v>
      </c>
      <c r="B242" t="str">
        <f t="shared" si="7"/>
        <v>1998</v>
      </c>
      <c r="C242" t="str">
        <f t="shared" si="8"/>
        <v>05</v>
      </c>
      <c r="D242">
        <v>-7.2229999999999999</v>
      </c>
      <c r="E242">
        <v>120.29600000000001</v>
      </c>
      <c r="F242">
        <v>585</v>
      </c>
      <c r="G242">
        <v>5.0999999999999996</v>
      </c>
      <c r="H242">
        <v>5.0999999999999996</v>
      </c>
    </row>
    <row r="243" spans="1:8" x14ac:dyDescent="0.25">
      <c r="A243" t="s">
        <v>965</v>
      </c>
      <c r="B243" t="str">
        <f t="shared" si="7"/>
        <v>1998</v>
      </c>
      <c r="C243" t="str">
        <f t="shared" si="8"/>
        <v>06</v>
      </c>
      <c r="D243">
        <v>-6.5540000000000003</v>
      </c>
      <c r="E243">
        <v>124.995</v>
      </c>
      <c r="F243">
        <v>589.70000000000005</v>
      </c>
      <c r="G243">
        <v>4.9000000000000004</v>
      </c>
      <c r="H243">
        <v>4.9000000000000004</v>
      </c>
    </row>
    <row r="244" spans="1:8" x14ac:dyDescent="0.25">
      <c r="A244" t="s">
        <v>969</v>
      </c>
      <c r="B244" t="str">
        <f t="shared" si="7"/>
        <v>1998</v>
      </c>
      <c r="C244" t="str">
        <f t="shared" si="8"/>
        <v>06</v>
      </c>
      <c r="D244">
        <v>-5.6379999999999999</v>
      </c>
      <c r="E244">
        <v>122.545</v>
      </c>
      <c r="F244">
        <v>33</v>
      </c>
      <c r="G244">
        <v>4.5999999999999996</v>
      </c>
      <c r="H244">
        <v>4.5999999999999996</v>
      </c>
    </row>
    <row r="245" spans="1:8" x14ac:dyDescent="0.25">
      <c r="A245" t="s">
        <v>973</v>
      </c>
      <c r="B245" t="str">
        <f t="shared" si="7"/>
        <v>1998</v>
      </c>
      <c r="C245" t="str">
        <f t="shared" si="8"/>
        <v>07</v>
      </c>
      <c r="D245">
        <v>-7.1360000000000001</v>
      </c>
      <c r="E245">
        <v>124.77</v>
      </c>
      <c r="F245">
        <v>565.29999999999995</v>
      </c>
      <c r="G245">
        <v>4.5</v>
      </c>
      <c r="H245">
        <v>4.5</v>
      </c>
    </row>
    <row r="246" spans="1:8" x14ac:dyDescent="0.25">
      <c r="A246" t="s">
        <v>977</v>
      </c>
      <c r="B246" t="str">
        <f t="shared" si="7"/>
        <v>1998</v>
      </c>
      <c r="C246" t="str">
        <f t="shared" si="8"/>
        <v>07</v>
      </c>
      <c r="D246">
        <v>-7.202</v>
      </c>
      <c r="E246">
        <v>120.401</v>
      </c>
      <c r="F246">
        <v>600</v>
      </c>
      <c r="G246">
        <v>5.0999999999999996</v>
      </c>
      <c r="H246">
        <v>5.0999999999999996</v>
      </c>
    </row>
    <row r="247" spans="1:8" x14ac:dyDescent="0.25">
      <c r="A247" t="s">
        <v>981</v>
      </c>
      <c r="B247" t="str">
        <f t="shared" si="7"/>
        <v>1998</v>
      </c>
      <c r="C247" t="str">
        <f t="shared" si="8"/>
        <v>07</v>
      </c>
      <c r="D247">
        <v>-6.4059999999999997</v>
      </c>
      <c r="E247">
        <v>123.569</v>
      </c>
      <c r="F247">
        <v>33</v>
      </c>
      <c r="G247">
        <v>5.0999999999999996</v>
      </c>
      <c r="H247">
        <v>5.0999999999999996</v>
      </c>
    </row>
    <row r="248" spans="1:8" x14ac:dyDescent="0.25">
      <c r="A248" t="s">
        <v>985</v>
      </c>
      <c r="B248" t="str">
        <f t="shared" si="7"/>
        <v>1998</v>
      </c>
      <c r="C248" t="str">
        <f t="shared" si="8"/>
        <v>11</v>
      </c>
      <c r="D248">
        <v>-5.2089999999999996</v>
      </c>
      <c r="E248">
        <v>123.154</v>
      </c>
      <c r="F248">
        <v>33</v>
      </c>
      <c r="G248">
        <v>4.5</v>
      </c>
      <c r="H248">
        <v>4.5</v>
      </c>
    </row>
    <row r="249" spans="1:8" x14ac:dyDescent="0.25">
      <c r="A249" t="s">
        <v>988</v>
      </c>
      <c r="B249" t="str">
        <f t="shared" si="7"/>
        <v>1998</v>
      </c>
      <c r="C249" t="str">
        <f t="shared" si="8"/>
        <v>12</v>
      </c>
      <c r="D249">
        <v>-7.101</v>
      </c>
      <c r="E249">
        <v>120.172</v>
      </c>
      <c r="F249">
        <v>593.79999999999995</v>
      </c>
      <c r="G249">
        <v>4.7</v>
      </c>
      <c r="H249">
        <v>4.7</v>
      </c>
    </row>
    <row r="250" spans="1:8" x14ac:dyDescent="0.25">
      <c r="A250" t="s">
        <v>992</v>
      </c>
      <c r="B250" t="str">
        <f t="shared" si="7"/>
        <v>1998</v>
      </c>
      <c r="C250" t="str">
        <f t="shared" si="8"/>
        <v>12</v>
      </c>
      <c r="D250">
        <v>-7.2169999999999996</v>
      </c>
      <c r="E250">
        <v>120.733</v>
      </c>
      <c r="F250">
        <v>508.6</v>
      </c>
      <c r="G250">
        <v>4.5</v>
      </c>
      <c r="H250">
        <v>4.5</v>
      </c>
    </row>
    <row r="251" spans="1:8" x14ac:dyDescent="0.25">
      <c r="A251" t="s">
        <v>996</v>
      </c>
      <c r="B251" t="str">
        <f t="shared" si="7"/>
        <v>1999</v>
      </c>
      <c r="C251" t="str">
        <f t="shared" si="8"/>
        <v>02</v>
      </c>
      <c r="D251">
        <v>-7.19</v>
      </c>
      <c r="E251">
        <v>120.429</v>
      </c>
      <c r="F251">
        <v>593.70000000000005</v>
      </c>
      <c r="G251">
        <v>4.5999999999999996</v>
      </c>
      <c r="H251">
        <v>4.5999999999999996</v>
      </c>
    </row>
    <row r="252" spans="1:8" x14ac:dyDescent="0.25">
      <c r="A252" t="s">
        <v>1000</v>
      </c>
      <c r="B252" t="str">
        <f t="shared" si="7"/>
        <v>1999</v>
      </c>
      <c r="C252" t="str">
        <f t="shared" si="8"/>
        <v>02</v>
      </c>
      <c r="D252">
        <v>-6.8029999999999999</v>
      </c>
      <c r="E252">
        <v>125.152</v>
      </c>
      <c r="F252">
        <v>542.70000000000005</v>
      </c>
      <c r="G252">
        <v>4.7</v>
      </c>
      <c r="H252">
        <v>4.7</v>
      </c>
    </row>
    <row r="253" spans="1:8" x14ac:dyDescent="0.25">
      <c r="A253" t="s">
        <v>1004</v>
      </c>
      <c r="B253" t="str">
        <f t="shared" si="7"/>
        <v>1999</v>
      </c>
      <c r="C253" t="str">
        <f t="shared" si="8"/>
        <v>03</v>
      </c>
      <c r="D253">
        <v>-7.4770000000000003</v>
      </c>
      <c r="E253">
        <v>123.402</v>
      </c>
      <c r="F253">
        <v>379.5</v>
      </c>
      <c r="G253">
        <v>5.4</v>
      </c>
      <c r="H253">
        <v>5.4</v>
      </c>
    </row>
    <row r="254" spans="1:8" x14ac:dyDescent="0.25">
      <c r="A254" t="s">
        <v>1007</v>
      </c>
      <c r="B254" t="str">
        <f t="shared" si="7"/>
        <v>1999</v>
      </c>
      <c r="C254" t="str">
        <f t="shared" si="8"/>
        <v>09</v>
      </c>
      <c r="D254">
        <v>-4.5519999999999996</v>
      </c>
      <c r="E254">
        <v>123.13</v>
      </c>
      <c r="F254">
        <v>33</v>
      </c>
      <c r="G254">
        <v>4.5999999999999996</v>
      </c>
      <c r="H254">
        <v>4.5999999999999996</v>
      </c>
    </row>
    <row r="255" spans="1:8" x14ac:dyDescent="0.25">
      <c r="A255" t="s">
        <v>1011</v>
      </c>
      <c r="B255" t="str">
        <f t="shared" si="7"/>
        <v>1999</v>
      </c>
      <c r="C255" t="str">
        <f t="shared" si="8"/>
        <v>09</v>
      </c>
      <c r="D255">
        <v>-6.976</v>
      </c>
      <c r="E255">
        <v>124.65300000000001</v>
      </c>
      <c r="F255">
        <v>469.3</v>
      </c>
      <c r="G255">
        <v>4.5999999999999996</v>
      </c>
      <c r="H255">
        <v>4.5999999999999996</v>
      </c>
    </row>
    <row r="256" spans="1:8" x14ac:dyDescent="0.25">
      <c r="A256" t="s">
        <v>1015</v>
      </c>
      <c r="B256" t="str">
        <f t="shared" si="7"/>
        <v>1999</v>
      </c>
      <c r="C256" t="str">
        <f t="shared" si="8"/>
        <v>10</v>
      </c>
      <c r="D256">
        <v>-7.3209999999999997</v>
      </c>
      <c r="E256">
        <v>120.44</v>
      </c>
      <c r="F256">
        <v>515</v>
      </c>
      <c r="G256">
        <v>4.7</v>
      </c>
      <c r="H256">
        <v>4.7</v>
      </c>
    </row>
    <row r="257" spans="1:8" x14ac:dyDescent="0.25">
      <c r="A257" t="s">
        <v>1019</v>
      </c>
      <c r="B257" t="str">
        <f t="shared" si="7"/>
        <v>1999</v>
      </c>
      <c r="C257" t="str">
        <f t="shared" si="8"/>
        <v>10</v>
      </c>
      <c r="D257">
        <v>-7.1379999999999999</v>
      </c>
      <c r="E257">
        <v>124.98699999999999</v>
      </c>
      <c r="F257">
        <v>516.29999999999995</v>
      </c>
      <c r="G257">
        <v>4.8</v>
      </c>
      <c r="H257">
        <v>4.8</v>
      </c>
    </row>
    <row r="258" spans="1:8" x14ac:dyDescent="0.25">
      <c r="A258" t="s">
        <v>1023</v>
      </c>
      <c r="B258" t="str">
        <f t="shared" si="7"/>
        <v>1999</v>
      </c>
      <c r="C258" t="str">
        <f t="shared" si="8"/>
        <v>10</v>
      </c>
      <c r="D258">
        <v>-7.3410000000000002</v>
      </c>
      <c r="E258">
        <v>123.919</v>
      </c>
      <c r="F258">
        <v>558.5</v>
      </c>
      <c r="G258">
        <v>4.7</v>
      </c>
      <c r="H258">
        <v>4.7</v>
      </c>
    </row>
    <row r="259" spans="1:8" x14ac:dyDescent="0.25">
      <c r="A259" t="s">
        <v>1027</v>
      </c>
      <c r="B259" t="str">
        <f t="shared" ref="B259:B268" si="9">LEFT(A259,4)</f>
        <v>2000</v>
      </c>
      <c r="C259" t="str">
        <f t="shared" ref="C259:C268" si="10">MID(A259,6,2)</f>
        <v>01</v>
      </c>
      <c r="D259">
        <v>-7.4850000000000003</v>
      </c>
      <c r="E259">
        <v>122.678</v>
      </c>
      <c r="F259">
        <v>574.9</v>
      </c>
      <c r="G259">
        <v>5.5</v>
      </c>
      <c r="H259">
        <v>5.5</v>
      </c>
    </row>
    <row r="260" spans="1:8" x14ac:dyDescent="0.25">
      <c r="A260" t="s">
        <v>1031</v>
      </c>
      <c r="B260" t="str">
        <f t="shared" si="9"/>
        <v>2000</v>
      </c>
      <c r="C260" t="str">
        <f t="shared" si="10"/>
        <v>06</v>
      </c>
      <c r="D260">
        <v>-7.33</v>
      </c>
      <c r="E260">
        <v>123.68899999999999</v>
      </c>
      <c r="F260">
        <v>600</v>
      </c>
      <c r="G260">
        <v>4.7</v>
      </c>
      <c r="H260">
        <v>4.7</v>
      </c>
    </row>
    <row r="261" spans="1:8" x14ac:dyDescent="0.25">
      <c r="A261" t="s">
        <v>1034</v>
      </c>
      <c r="B261" t="str">
        <f t="shared" si="9"/>
        <v>2000</v>
      </c>
      <c r="C261" t="str">
        <f t="shared" si="10"/>
        <v>08</v>
      </c>
      <c r="D261">
        <v>-7.0179999999999998</v>
      </c>
      <c r="E261">
        <v>123.357</v>
      </c>
      <c r="F261">
        <v>648.5</v>
      </c>
      <c r="G261">
        <v>6.5</v>
      </c>
      <c r="H261">
        <v>6.5</v>
      </c>
    </row>
    <row r="262" spans="1:8" x14ac:dyDescent="0.25">
      <c r="A262" t="s">
        <v>1038</v>
      </c>
      <c r="B262" t="str">
        <f t="shared" si="9"/>
        <v>2000</v>
      </c>
      <c r="C262" t="str">
        <f t="shared" si="10"/>
        <v>08</v>
      </c>
      <c r="D262">
        <v>-7.1420000000000003</v>
      </c>
      <c r="E262">
        <v>123.434</v>
      </c>
      <c r="F262">
        <v>675.5</v>
      </c>
      <c r="G262">
        <v>4.5999999999999996</v>
      </c>
      <c r="H262">
        <v>4.5999999999999996</v>
      </c>
    </row>
    <row r="263" spans="1:8" x14ac:dyDescent="0.25">
      <c r="A263" t="s">
        <v>1041</v>
      </c>
      <c r="B263" t="str">
        <f t="shared" si="9"/>
        <v>2000</v>
      </c>
      <c r="C263" t="str">
        <f t="shared" si="10"/>
        <v>08</v>
      </c>
      <c r="D263">
        <v>-7.1130000000000004</v>
      </c>
      <c r="E263">
        <v>124.639</v>
      </c>
      <c r="F263">
        <v>580.1</v>
      </c>
      <c r="G263">
        <v>4.5</v>
      </c>
      <c r="H263">
        <v>4.5</v>
      </c>
    </row>
    <row r="264" spans="1:8" x14ac:dyDescent="0.25">
      <c r="A264" t="s">
        <v>1045</v>
      </c>
      <c r="B264" t="str">
        <f t="shared" si="9"/>
        <v>2000</v>
      </c>
      <c r="C264" t="str">
        <f t="shared" si="10"/>
        <v>08</v>
      </c>
      <c r="D264">
        <v>-5.7869999999999999</v>
      </c>
      <c r="E264">
        <v>123.309</v>
      </c>
      <c r="F264">
        <v>33</v>
      </c>
      <c r="G264">
        <v>5.2</v>
      </c>
      <c r="H264">
        <v>5.2</v>
      </c>
    </row>
    <row r="265" spans="1:8" x14ac:dyDescent="0.25">
      <c r="A265" t="s">
        <v>1049</v>
      </c>
      <c r="B265" t="str">
        <f t="shared" si="9"/>
        <v>2000</v>
      </c>
      <c r="C265" t="str">
        <f t="shared" si="10"/>
        <v>08</v>
      </c>
      <c r="D265">
        <v>-6.0309999999999997</v>
      </c>
      <c r="E265">
        <v>122.836</v>
      </c>
      <c r="F265">
        <v>10</v>
      </c>
      <c r="G265">
        <v>4.8</v>
      </c>
      <c r="H265">
        <v>4.8</v>
      </c>
    </row>
    <row r="266" spans="1:8" x14ac:dyDescent="0.25">
      <c r="A266" t="s">
        <v>1053</v>
      </c>
      <c r="B266" t="str">
        <f t="shared" si="9"/>
        <v>2000</v>
      </c>
      <c r="C266" t="str">
        <f t="shared" si="10"/>
        <v>09</v>
      </c>
      <c r="D266">
        <v>-7.3220000000000001</v>
      </c>
      <c r="E266">
        <v>120.65900000000001</v>
      </c>
      <c r="F266">
        <v>602.1</v>
      </c>
      <c r="G266">
        <v>4.5999999999999996</v>
      </c>
      <c r="H266">
        <v>4.5999999999999996</v>
      </c>
    </row>
    <row r="267" spans="1:8" x14ac:dyDescent="0.25">
      <c r="A267" t="s">
        <v>1057</v>
      </c>
      <c r="B267" t="str">
        <f t="shared" si="9"/>
        <v>2000</v>
      </c>
      <c r="C267" t="str">
        <f t="shared" si="10"/>
        <v>10</v>
      </c>
      <c r="D267">
        <v>-7.1130000000000004</v>
      </c>
      <c r="E267">
        <v>124.82599999999999</v>
      </c>
      <c r="F267">
        <v>558.79999999999995</v>
      </c>
      <c r="G267">
        <v>4.8</v>
      </c>
      <c r="H267">
        <v>4.8</v>
      </c>
    </row>
    <row r="268" spans="1:8" x14ac:dyDescent="0.25">
      <c r="A268" t="s">
        <v>1060</v>
      </c>
      <c r="B268" t="str">
        <f t="shared" si="9"/>
        <v>2000</v>
      </c>
      <c r="C268" t="str">
        <f t="shared" si="10"/>
        <v>12</v>
      </c>
      <c r="D268">
        <v>-7.27</v>
      </c>
      <c r="E268">
        <v>121.17100000000001</v>
      </c>
      <c r="F268">
        <v>541.5</v>
      </c>
      <c r="G268">
        <v>4.5</v>
      </c>
      <c r="H268">
        <v>4.5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D9E8D8-9C60-4C8D-A23A-A095CA83A92C}">
  <dimension ref="A1:E268"/>
  <sheetViews>
    <sheetView workbookViewId="0">
      <selection activeCell="H3" sqref="H3"/>
    </sheetView>
  </sheetViews>
  <sheetFormatPr defaultRowHeight="13.8" x14ac:dyDescent="0.25"/>
  <sheetData>
    <row r="1" spans="1:5" x14ac:dyDescent="0.25">
      <c r="A1" t="s">
        <v>2768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2769</v>
      </c>
      <c r="B2">
        <v>-7.2910000000000004</v>
      </c>
      <c r="C2">
        <v>120.38500000000001</v>
      </c>
      <c r="D2">
        <v>631</v>
      </c>
      <c r="E2">
        <v>5.8</v>
      </c>
    </row>
    <row r="3" spans="1:5" x14ac:dyDescent="0.25">
      <c r="A3" t="s">
        <v>2769</v>
      </c>
      <c r="B3">
        <v>-7.4630000000000001</v>
      </c>
      <c r="C3">
        <v>122.11799999999999</v>
      </c>
      <c r="D3">
        <v>392</v>
      </c>
      <c r="E3">
        <v>5.4</v>
      </c>
    </row>
    <row r="4" spans="1:5" x14ac:dyDescent="0.25">
      <c r="A4" t="s">
        <v>2769</v>
      </c>
      <c r="B4">
        <v>-6.0289999999999999</v>
      </c>
      <c r="C4">
        <v>124.68600000000001</v>
      </c>
      <c r="D4">
        <v>605</v>
      </c>
      <c r="E4">
        <v>5.5</v>
      </c>
    </row>
    <row r="5" spans="1:5" x14ac:dyDescent="0.25">
      <c r="A5" t="s">
        <v>2770</v>
      </c>
      <c r="B5">
        <v>-7.0359999999999996</v>
      </c>
      <c r="C5">
        <v>124.749</v>
      </c>
      <c r="D5">
        <v>545</v>
      </c>
      <c r="E5">
        <v>5.3</v>
      </c>
    </row>
    <row r="6" spans="1:5" x14ac:dyDescent="0.25">
      <c r="A6" t="s">
        <v>2770</v>
      </c>
      <c r="B6">
        <v>-7.3449999999999998</v>
      </c>
      <c r="C6">
        <v>120.251</v>
      </c>
      <c r="D6">
        <v>582</v>
      </c>
      <c r="E6">
        <v>5.0999999999999996</v>
      </c>
    </row>
    <row r="7" spans="1:5" x14ac:dyDescent="0.25">
      <c r="A7" t="s">
        <v>2770</v>
      </c>
      <c r="B7">
        <v>-7.24</v>
      </c>
      <c r="C7">
        <v>120.21599999999999</v>
      </c>
      <c r="D7">
        <v>390</v>
      </c>
      <c r="E7">
        <v>5.4</v>
      </c>
    </row>
    <row r="8" spans="1:5" x14ac:dyDescent="0.25">
      <c r="A8" t="s">
        <v>2770</v>
      </c>
      <c r="B8">
        <v>-7.3109999999999999</v>
      </c>
      <c r="C8">
        <v>120.548</v>
      </c>
      <c r="D8">
        <v>618</v>
      </c>
      <c r="E8">
        <v>4.8</v>
      </c>
    </row>
    <row r="9" spans="1:5" x14ac:dyDescent="0.25">
      <c r="A9" t="s">
        <v>2771</v>
      </c>
      <c r="B9">
        <v>-7.3090000000000002</v>
      </c>
      <c r="C9">
        <v>120.17</v>
      </c>
      <c r="D9">
        <v>627</v>
      </c>
      <c r="E9">
        <v>5.3</v>
      </c>
    </row>
    <row r="10" spans="1:5" x14ac:dyDescent="0.25">
      <c r="A10" t="s">
        <v>2771</v>
      </c>
      <c r="B10">
        <v>-6.9569999999999999</v>
      </c>
      <c r="C10">
        <v>124.616</v>
      </c>
      <c r="D10">
        <v>538</v>
      </c>
      <c r="E10">
        <v>5</v>
      </c>
    </row>
    <row r="11" spans="1:5" x14ac:dyDescent="0.25">
      <c r="A11" t="s">
        <v>2771</v>
      </c>
      <c r="B11">
        <v>-7.2320000000000002</v>
      </c>
      <c r="C11">
        <v>120.44799999999999</v>
      </c>
      <c r="D11">
        <v>604</v>
      </c>
      <c r="E11">
        <v>4.7</v>
      </c>
    </row>
    <row r="12" spans="1:5" x14ac:dyDescent="0.25">
      <c r="A12" t="s">
        <v>2771</v>
      </c>
      <c r="B12">
        <v>-7.2510000000000003</v>
      </c>
      <c r="C12">
        <v>120.499</v>
      </c>
      <c r="D12">
        <v>637</v>
      </c>
      <c r="E12">
        <v>5</v>
      </c>
    </row>
    <row r="13" spans="1:5" x14ac:dyDescent="0.25">
      <c r="A13" t="s">
        <v>2771</v>
      </c>
      <c r="B13">
        <v>-7.5549999999999997</v>
      </c>
      <c r="C13">
        <v>120.283</v>
      </c>
      <c r="D13">
        <v>367</v>
      </c>
      <c r="E13">
        <v>5.0999999999999996</v>
      </c>
    </row>
    <row r="14" spans="1:5" x14ac:dyDescent="0.25">
      <c r="A14" t="s">
        <v>2771</v>
      </c>
      <c r="B14">
        <v>-7.5209999999999999</v>
      </c>
      <c r="C14">
        <v>124.64700000000001</v>
      </c>
      <c r="D14">
        <v>359</v>
      </c>
      <c r="E14">
        <v>5.2</v>
      </c>
    </row>
    <row r="15" spans="1:5" x14ac:dyDescent="0.25">
      <c r="A15" t="s">
        <v>2771</v>
      </c>
      <c r="B15">
        <v>-7.4470000000000001</v>
      </c>
      <c r="C15">
        <v>125.254</v>
      </c>
      <c r="D15">
        <v>50</v>
      </c>
      <c r="E15">
        <v>4.8</v>
      </c>
    </row>
    <row r="16" spans="1:5" x14ac:dyDescent="0.25">
      <c r="A16" t="s">
        <v>2771</v>
      </c>
      <c r="B16">
        <v>-6.5330000000000004</v>
      </c>
      <c r="C16">
        <v>124.742</v>
      </c>
      <c r="D16">
        <v>606</v>
      </c>
      <c r="E16">
        <v>5</v>
      </c>
    </row>
    <row r="17" spans="1:5" x14ac:dyDescent="0.25">
      <c r="A17" t="s">
        <v>2771</v>
      </c>
      <c r="B17">
        <v>-6.2850000000000001</v>
      </c>
      <c r="C17">
        <v>124.755</v>
      </c>
      <c r="D17">
        <v>576</v>
      </c>
      <c r="E17">
        <v>5.7</v>
      </c>
    </row>
    <row r="18" spans="1:5" x14ac:dyDescent="0.25">
      <c r="A18" t="s">
        <v>2772</v>
      </c>
      <c r="B18">
        <v>-7.4779999999999998</v>
      </c>
      <c r="C18">
        <v>119.905</v>
      </c>
      <c r="D18">
        <v>614</v>
      </c>
      <c r="E18">
        <v>6.4</v>
      </c>
    </row>
    <row r="19" spans="1:5" x14ac:dyDescent="0.25">
      <c r="A19" t="s">
        <v>2772</v>
      </c>
      <c r="B19">
        <v>-7.0590000000000002</v>
      </c>
      <c r="C19">
        <v>123.74299999999999</v>
      </c>
      <c r="D19">
        <v>611</v>
      </c>
      <c r="E19">
        <v>5.2</v>
      </c>
    </row>
    <row r="20" spans="1:5" x14ac:dyDescent="0.25">
      <c r="A20" t="s">
        <v>2772</v>
      </c>
      <c r="B20">
        <v>-5.1890000000000001</v>
      </c>
      <c r="C20">
        <v>125.23099999999999</v>
      </c>
      <c r="D20">
        <v>33</v>
      </c>
      <c r="E20">
        <v>5.0999999999999996</v>
      </c>
    </row>
    <row r="21" spans="1:5" x14ac:dyDescent="0.25">
      <c r="A21" t="s">
        <v>2772</v>
      </c>
      <c r="B21">
        <v>-7.0789999999999997</v>
      </c>
      <c r="C21">
        <v>123.815</v>
      </c>
      <c r="D21">
        <v>596</v>
      </c>
      <c r="E21">
        <v>4.7</v>
      </c>
    </row>
    <row r="22" spans="1:5" x14ac:dyDescent="0.25">
      <c r="A22" t="s">
        <v>2773</v>
      </c>
      <c r="B22">
        <v>-7.27</v>
      </c>
      <c r="C22">
        <v>120.306</v>
      </c>
      <c r="D22">
        <v>562</v>
      </c>
      <c r="E22">
        <v>4.5</v>
      </c>
    </row>
    <row r="23" spans="1:5" x14ac:dyDescent="0.25">
      <c r="A23" t="s">
        <v>2773</v>
      </c>
      <c r="B23">
        <v>-7.0549999999999997</v>
      </c>
      <c r="C23">
        <v>125.205</v>
      </c>
      <c r="D23">
        <v>522</v>
      </c>
      <c r="E23">
        <v>4.8</v>
      </c>
    </row>
    <row r="24" spans="1:5" x14ac:dyDescent="0.25">
      <c r="A24" t="s">
        <v>2773</v>
      </c>
      <c r="B24">
        <v>-5.9820000000000002</v>
      </c>
      <c r="C24">
        <v>123.645</v>
      </c>
      <c r="D24">
        <v>43</v>
      </c>
      <c r="E24">
        <v>5</v>
      </c>
    </row>
    <row r="25" spans="1:5" x14ac:dyDescent="0.25">
      <c r="A25" t="s">
        <v>2773</v>
      </c>
      <c r="B25">
        <v>-6.0549999999999997</v>
      </c>
      <c r="C25">
        <v>123.69</v>
      </c>
      <c r="D25">
        <v>24</v>
      </c>
      <c r="E25">
        <v>5.0999999999999996</v>
      </c>
    </row>
    <row r="26" spans="1:5" x14ac:dyDescent="0.25">
      <c r="A26" t="s">
        <v>2773</v>
      </c>
      <c r="B26">
        <v>-6.069</v>
      </c>
      <c r="C26">
        <v>125.18300000000001</v>
      </c>
      <c r="D26">
        <v>548</v>
      </c>
      <c r="E26">
        <v>4.8</v>
      </c>
    </row>
    <row r="27" spans="1:5" x14ac:dyDescent="0.25">
      <c r="A27" t="s">
        <v>2774</v>
      </c>
      <c r="B27">
        <v>-4.9459999999999997</v>
      </c>
      <c r="C27">
        <v>125.247</v>
      </c>
      <c r="D27">
        <v>535</v>
      </c>
      <c r="E27">
        <v>5.9</v>
      </c>
    </row>
    <row r="28" spans="1:5" x14ac:dyDescent="0.25">
      <c r="A28" t="s">
        <v>2774</v>
      </c>
      <c r="B28">
        <v>-4.9950000000000001</v>
      </c>
      <c r="C28">
        <v>125.23</v>
      </c>
      <c r="D28">
        <v>531</v>
      </c>
      <c r="E28">
        <v>5.6</v>
      </c>
    </row>
    <row r="29" spans="1:5" x14ac:dyDescent="0.25">
      <c r="A29" t="s">
        <v>2774</v>
      </c>
      <c r="B29">
        <v>-7.08</v>
      </c>
      <c r="C29">
        <v>123.256</v>
      </c>
      <c r="D29">
        <v>556</v>
      </c>
      <c r="E29">
        <v>5</v>
      </c>
    </row>
    <row r="30" spans="1:5" x14ac:dyDescent="0.25">
      <c r="A30" t="s">
        <v>2774</v>
      </c>
      <c r="B30">
        <v>-7.125</v>
      </c>
      <c r="C30">
        <v>123.815</v>
      </c>
      <c r="D30">
        <v>583</v>
      </c>
      <c r="E30">
        <v>4.9000000000000004</v>
      </c>
    </row>
    <row r="31" spans="1:5" x14ac:dyDescent="0.25">
      <c r="A31" t="s">
        <v>2774</v>
      </c>
      <c r="B31">
        <v>-6.8529999999999998</v>
      </c>
      <c r="C31">
        <v>123.456</v>
      </c>
      <c r="D31">
        <v>646</v>
      </c>
      <c r="E31">
        <v>4.9000000000000004</v>
      </c>
    </row>
    <row r="32" spans="1:5" x14ac:dyDescent="0.25">
      <c r="A32" t="s">
        <v>2774</v>
      </c>
      <c r="B32">
        <v>-6.0810000000000004</v>
      </c>
      <c r="C32">
        <v>122.914</v>
      </c>
      <c r="D32">
        <v>56</v>
      </c>
      <c r="E32">
        <v>5.4</v>
      </c>
    </row>
    <row r="33" spans="1:5" x14ac:dyDescent="0.25">
      <c r="A33" t="s">
        <v>2775</v>
      </c>
      <c r="B33">
        <v>-7.29</v>
      </c>
      <c r="C33">
        <v>123.15</v>
      </c>
      <c r="D33">
        <v>578</v>
      </c>
      <c r="E33">
        <v>5.3</v>
      </c>
    </row>
    <row r="34" spans="1:5" x14ac:dyDescent="0.25">
      <c r="A34" t="s">
        <v>2775</v>
      </c>
      <c r="B34">
        <v>-7.1929999999999996</v>
      </c>
      <c r="C34">
        <v>120.051</v>
      </c>
      <c r="D34">
        <v>557</v>
      </c>
      <c r="E34">
        <v>5.4</v>
      </c>
    </row>
    <row r="35" spans="1:5" x14ac:dyDescent="0.25">
      <c r="A35" t="s">
        <v>2775</v>
      </c>
      <c r="B35">
        <v>-6.8490000000000002</v>
      </c>
      <c r="C35">
        <v>125.244</v>
      </c>
      <c r="D35">
        <v>529</v>
      </c>
      <c r="E35">
        <v>5</v>
      </c>
    </row>
    <row r="36" spans="1:5" x14ac:dyDescent="0.25">
      <c r="A36" t="s">
        <v>2775</v>
      </c>
      <c r="B36">
        <v>-7.0149999999999997</v>
      </c>
      <c r="C36">
        <v>123.381</v>
      </c>
      <c r="D36">
        <v>642</v>
      </c>
      <c r="E36">
        <v>5.2</v>
      </c>
    </row>
    <row r="37" spans="1:5" x14ac:dyDescent="0.25">
      <c r="A37" t="s">
        <v>2775</v>
      </c>
      <c r="B37">
        <v>-5.7629999999999999</v>
      </c>
      <c r="C37">
        <v>122.76300000000001</v>
      </c>
      <c r="D37">
        <v>66</v>
      </c>
      <c r="E37">
        <v>4.7</v>
      </c>
    </row>
    <row r="38" spans="1:5" x14ac:dyDescent="0.25">
      <c r="A38" t="s">
        <v>2775</v>
      </c>
      <c r="B38">
        <v>-6.1449999999999996</v>
      </c>
      <c r="C38">
        <v>124.89700000000001</v>
      </c>
      <c r="D38">
        <v>615</v>
      </c>
      <c r="E38">
        <v>5.2</v>
      </c>
    </row>
    <row r="39" spans="1:5" x14ac:dyDescent="0.25">
      <c r="A39" t="s">
        <v>2775</v>
      </c>
      <c r="B39">
        <v>-6.8810000000000002</v>
      </c>
      <c r="C39">
        <v>124.94</v>
      </c>
      <c r="D39">
        <v>555</v>
      </c>
      <c r="E39">
        <v>4.9000000000000004</v>
      </c>
    </row>
    <row r="40" spans="1:5" x14ac:dyDescent="0.25">
      <c r="A40" t="s">
        <v>2775</v>
      </c>
      <c r="B40">
        <v>-7.21</v>
      </c>
      <c r="C40">
        <v>120.309</v>
      </c>
      <c r="D40">
        <v>567</v>
      </c>
      <c r="E40">
        <v>4.8</v>
      </c>
    </row>
    <row r="41" spans="1:5" x14ac:dyDescent="0.25">
      <c r="A41" t="s">
        <v>2776</v>
      </c>
      <c r="B41">
        <v>-7.1829999999999998</v>
      </c>
      <c r="C41">
        <v>123.092</v>
      </c>
      <c r="D41">
        <v>616</v>
      </c>
      <c r="E41">
        <v>4.5</v>
      </c>
    </row>
    <row r="42" spans="1:5" x14ac:dyDescent="0.25">
      <c r="A42" t="s">
        <v>2776</v>
      </c>
      <c r="B42">
        <v>-7.3719999999999999</v>
      </c>
      <c r="C42">
        <v>120.40900000000001</v>
      </c>
      <c r="D42">
        <v>600</v>
      </c>
      <c r="E42">
        <v>5</v>
      </c>
    </row>
    <row r="43" spans="1:5" x14ac:dyDescent="0.25">
      <c r="A43" t="s">
        <v>2776</v>
      </c>
      <c r="B43">
        <v>-6.8650000000000002</v>
      </c>
      <c r="C43">
        <v>124.858</v>
      </c>
      <c r="D43">
        <v>573</v>
      </c>
      <c r="E43">
        <v>4.9000000000000004</v>
      </c>
    </row>
    <row r="44" spans="1:5" x14ac:dyDescent="0.25">
      <c r="A44" t="s">
        <v>2776</v>
      </c>
      <c r="B44">
        <v>-7.5</v>
      </c>
      <c r="C44">
        <v>122.14700000000001</v>
      </c>
      <c r="D44">
        <v>170</v>
      </c>
      <c r="E44">
        <v>4.5</v>
      </c>
    </row>
    <row r="45" spans="1:5" x14ac:dyDescent="0.25">
      <c r="A45" t="s">
        <v>2776</v>
      </c>
      <c r="B45">
        <v>-7.1040000000000001</v>
      </c>
      <c r="C45">
        <v>124.973</v>
      </c>
      <c r="D45">
        <v>558</v>
      </c>
      <c r="E45">
        <v>5</v>
      </c>
    </row>
    <row r="46" spans="1:5" x14ac:dyDescent="0.25">
      <c r="A46" t="s">
        <v>2776</v>
      </c>
      <c r="B46">
        <v>-7.327</v>
      </c>
      <c r="C46">
        <v>122.211</v>
      </c>
      <c r="D46">
        <v>632</v>
      </c>
      <c r="E46">
        <v>4.8</v>
      </c>
    </row>
    <row r="47" spans="1:5" x14ac:dyDescent="0.25">
      <c r="A47" t="s">
        <v>2776</v>
      </c>
      <c r="B47">
        <v>-7.2149999999999999</v>
      </c>
      <c r="C47">
        <v>124.788</v>
      </c>
      <c r="D47">
        <v>514</v>
      </c>
      <c r="E47">
        <v>5.0999999999999996</v>
      </c>
    </row>
    <row r="48" spans="1:5" x14ac:dyDescent="0.25">
      <c r="A48" t="s">
        <v>2776</v>
      </c>
      <c r="B48">
        <v>-7.2249999999999996</v>
      </c>
      <c r="C48">
        <v>122.10299999999999</v>
      </c>
      <c r="D48">
        <v>517</v>
      </c>
      <c r="E48">
        <v>4.9000000000000004</v>
      </c>
    </row>
    <row r="49" spans="1:5" x14ac:dyDescent="0.25">
      <c r="A49" t="s">
        <v>2776</v>
      </c>
      <c r="B49">
        <v>-7.2990000000000004</v>
      </c>
      <c r="C49">
        <v>123.191</v>
      </c>
      <c r="D49">
        <v>592</v>
      </c>
      <c r="E49">
        <v>5.2</v>
      </c>
    </row>
    <row r="50" spans="1:5" x14ac:dyDescent="0.25">
      <c r="A50" t="s">
        <v>2776</v>
      </c>
      <c r="B50">
        <v>-7.1989999999999998</v>
      </c>
      <c r="C50">
        <v>124.753</v>
      </c>
      <c r="D50">
        <v>508</v>
      </c>
      <c r="E50">
        <v>4.9000000000000004</v>
      </c>
    </row>
    <row r="51" spans="1:5" x14ac:dyDescent="0.25">
      <c r="A51" t="s">
        <v>2777</v>
      </c>
      <c r="B51">
        <v>-7.2030000000000003</v>
      </c>
      <c r="C51">
        <v>120.336</v>
      </c>
      <c r="D51">
        <v>593.70000000000005</v>
      </c>
      <c r="E51">
        <v>4.5999999999999996</v>
      </c>
    </row>
    <row r="52" spans="1:5" x14ac:dyDescent="0.25">
      <c r="A52" t="s">
        <v>2777</v>
      </c>
      <c r="B52">
        <v>-6.9470000000000001</v>
      </c>
      <c r="C52">
        <v>123.22499999999999</v>
      </c>
      <c r="D52">
        <v>648.4</v>
      </c>
      <c r="E52">
        <v>5.0999999999999996</v>
      </c>
    </row>
    <row r="53" spans="1:5" x14ac:dyDescent="0.25">
      <c r="A53" t="s">
        <v>2777</v>
      </c>
      <c r="B53">
        <v>-7.4790000000000001</v>
      </c>
      <c r="C53">
        <v>120.211</v>
      </c>
      <c r="D53">
        <v>556.79999999999995</v>
      </c>
      <c r="E53">
        <v>4.9000000000000004</v>
      </c>
    </row>
    <row r="54" spans="1:5" x14ac:dyDescent="0.25">
      <c r="A54" t="s">
        <v>2777</v>
      </c>
      <c r="B54">
        <v>-7.0469999999999997</v>
      </c>
      <c r="C54">
        <v>125.22</v>
      </c>
      <c r="D54">
        <v>529.4</v>
      </c>
      <c r="E54">
        <v>5.0999999999999996</v>
      </c>
    </row>
    <row r="55" spans="1:5" x14ac:dyDescent="0.25">
      <c r="A55" t="s">
        <v>2778</v>
      </c>
      <c r="B55">
        <v>-7.2910000000000004</v>
      </c>
      <c r="C55">
        <v>120.31</v>
      </c>
      <c r="D55">
        <v>572.5</v>
      </c>
      <c r="E55">
        <v>5.5</v>
      </c>
    </row>
    <row r="56" spans="1:5" x14ac:dyDescent="0.25">
      <c r="A56" t="s">
        <v>2778</v>
      </c>
      <c r="B56">
        <v>-7.242</v>
      </c>
      <c r="C56">
        <v>123.066</v>
      </c>
      <c r="D56">
        <v>555.29999999999995</v>
      </c>
      <c r="E56">
        <v>4.8</v>
      </c>
    </row>
    <row r="57" spans="1:5" x14ac:dyDescent="0.25">
      <c r="A57" t="s">
        <v>2778</v>
      </c>
      <c r="B57">
        <v>-7.3789999999999996</v>
      </c>
      <c r="C57">
        <v>123.749</v>
      </c>
      <c r="D57">
        <v>570.79999999999995</v>
      </c>
      <c r="E57">
        <v>5.3</v>
      </c>
    </row>
    <row r="58" spans="1:5" x14ac:dyDescent="0.25">
      <c r="A58" t="s">
        <v>2778</v>
      </c>
      <c r="B58">
        <v>-6.6159999999999997</v>
      </c>
      <c r="C58">
        <v>123.34699999999999</v>
      </c>
      <c r="D58">
        <v>223.2</v>
      </c>
      <c r="E58">
        <v>5</v>
      </c>
    </row>
    <row r="59" spans="1:5" x14ac:dyDescent="0.25">
      <c r="A59" t="s">
        <v>2778</v>
      </c>
      <c r="B59">
        <v>-7.0949999999999998</v>
      </c>
      <c r="C59">
        <v>123.785</v>
      </c>
      <c r="D59">
        <v>594.70000000000005</v>
      </c>
      <c r="E59">
        <v>5.0999999999999996</v>
      </c>
    </row>
    <row r="60" spans="1:5" x14ac:dyDescent="0.25">
      <c r="A60" t="s">
        <v>2778</v>
      </c>
      <c r="B60">
        <v>-7.4039999999999999</v>
      </c>
      <c r="C60">
        <v>120.30200000000001</v>
      </c>
      <c r="D60">
        <v>569.79999999999995</v>
      </c>
      <c r="E60">
        <v>5.2</v>
      </c>
    </row>
    <row r="61" spans="1:5" x14ac:dyDescent="0.25">
      <c r="A61" t="s">
        <v>2778</v>
      </c>
      <c r="B61">
        <v>-6.827</v>
      </c>
      <c r="C61">
        <v>125.134</v>
      </c>
      <c r="D61">
        <v>557</v>
      </c>
      <c r="E61">
        <v>4.7</v>
      </c>
    </row>
    <row r="62" spans="1:5" x14ac:dyDescent="0.25">
      <c r="A62" t="s">
        <v>2778</v>
      </c>
      <c r="B62">
        <v>-7.2009999999999996</v>
      </c>
      <c r="C62">
        <v>120.358</v>
      </c>
      <c r="D62">
        <v>33</v>
      </c>
      <c r="E62">
        <v>4.8</v>
      </c>
    </row>
    <row r="63" spans="1:5" x14ac:dyDescent="0.25">
      <c r="A63" t="s">
        <v>2779</v>
      </c>
      <c r="B63">
        <v>-7.2910000000000004</v>
      </c>
      <c r="C63">
        <v>124.759</v>
      </c>
      <c r="D63">
        <v>524</v>
      </c>
      <c r="E63">
        <v>4.5999999999999996</v>
      </c>
    </row>
    <row r="64" spans="1:5" x14ac:dyDescent="0.25">
      <c r="A64" t="s">
        <v>2779</v>
      </c>
      <c r="B64">
        <v>-7.3220000000000001</v>
      </c>
      <c r="C64">
        <v>119.70699999999999</v>
      </c>
      <c r="D64">
        <v>575.29999999999995</v>
      </c>
      <c r="E64">
        <v>5</v>
      </c>
    </row>
    <row r="65" spans="1:5" x14ac:dyDescent="0.25">
      <c r="A65" t="s">
        <v>2779</v>
      </c>
      <c r="B65">
        <v>-7.3680000000000003</v>
      </c>
      <c r="C65">
        <v>119.54300000000001</v>
      </c>
      <c r="D65">
        <v>574</v>
      </c>
      <c r="E65">
        <v>4.5</v>
      </c>
    </row>
    <row r="66" spans="1:5" x14ac:dyDescent="0.25">
      <c r="A66" t="s">
        <v>2779</v>
      </c>
      <c r="B66">
        <v>-7.2709999999999999</v>
      </c>
      <c r="C66">
        <v>119.626</v>
      </c>
      <c r="D66">
        <v>575</v>
      </c>
      <c r="E66">
        <v>4.9000000000000004</v>
      </c>
    </row>
    <row r="67" spans="1:5" x14ac:dyDescent="0.25">
      <c r="A67" t="s">
        <v>2779</v>
      </c>
      <c r="B67">
        <v>-7.274</v>
      </c>
      <c r="C67">
        <v>123.396</v>
      </c>
      <c r="D67">
        <v>600.4</v>
      </c>
      <c r="E67">
        <v>5.0999999999999996</v>
      </c>
    </row>
    <row r="68" spans="1:5" x14ac:dyDescent="0.25">
      <c r="A68" t="s">
        <v>2779</v>
      </c>
      <c r="B68">
        <v>-5.9370000000000003</v>
      </c>
      <c r="C68">
        <v>122.636</v>
      </c>
      <c r="D68">
        <v>46.3</v>
      </c>
      <c r="E68">
        <v>5.5</v>
      </c>
    </row>
    <row r="69" spans="1:5" x14ac:dyDescent="0.25">
      <c r="A69" t="s">
        <v>2779</v>
      </c>
      <c r="B69">
        <v>-7.45</v>
      </c>
      <c r="C69">
        <v>119.81399999999999</v>
      </c>
      <c r="D69">
        <v>33</v>
      </c>
      <c r="E69">
        <v>5.0999999999999996</v>
      </c>
    </row>
    <row r="70" spans="1:5" x14ac:dyDescent="0.25">
      <c r="A70" t="s">
        <v>2779</v>
      </c>
      <c r="B70">
        <v>-7.5579999999999998</v>
      </c>
      <c r="C70">
        <v>124.996</v>
      </c>
      <c r="D70">
        <v>409.5</v>
      </c>
      <c r="E70">
        <v>4.8</v>
      </c>
    </row>
    <row r="71" spans="1:5" x14ac:dyDescent="0.25">
      <c r="A71" t="s">
        <v>2779</v>
      </c>
      <c r="B71">
        <v>-7.3540000000000001</v>
      </c>
      <c r="C71">
        <v>121.18</v>
      </c>
      <c r="D71">
        <v>547.1</v>
      </c>
      <c r="E71">
        <v>5.2</v>
      </c>
    </row>
    <row r="72" spans="1:5" x14ac:dyDescent="0.25">
      <c r="A72" t="s">
        <v>2779</v>
      </c>
      <c r="B72">
        <v>-7.056</v>
      </c>
      <c r="C72">
        <v>123.389</v>
      </c>
      <c r="D72">
        <v>642.1</v>
      </c>
      <c r="E72">
        <v>4.5999999999999996</v>
      </c>
    </row>
    <row r="73" spans="1:5" x14ac:dyDescent="0.25">
      <c r="A73" t="s">
        <v>2779</v>
      </c>
      <c r="B73">
        <v>-6.38</v>
      </c>
      <c r="C73">
        <v>125.26</v>
      </c>
      <c r="D73">
        <v>571.6</v>
      </c>
      <c r="E73">
        <v>5.3</v>
      </c>
    </row>
    <row r="74" spans="1:5" x14ac:dyDescent="0.25">
      <c r="A74" t="s">
        <v>2779</v>
      </c>
      <c r="B74">
        <v>-7.2249999999999996</v>
      </c>
      <c r="C74">
        <v>120.307</v>
      </c>
      <c r="D74">
        <v>567.1</v>
      </c>
      <c r="E74">
        <v>5.4</v>
      </c>
    </row>
    <row r="75" spans="1:5" x14ac:dyDescent="0.25">
      <c r="A75" t="s">
        <v>2780</v>
      </c>
      <c r="B75">
        <v>-6.95</v>
      </c>
      <c r="C75">
        <v>125.093</v>
      </c>
      <c r="D75">
        <v>518.9</v>
      </c>
      <c r="E75">
        <v>4.5999999999999996</v>
      </c>
    </row>
    <row r="76" spans="1:5" x14ac:dyDescent="0.25">
      <c r="A76" t="s">
        <v>2780</v>
      </c>
      <c r="B76">
        <v>-7.3040000000000003</v>
      </c>
      <c r="C76">
        <v>120.151</v>
      </c>
      <c r="D76">
        <v>608.5</v>
      </c>
      <c r="E76">
        <v>5.5</v>
      </c>
    </row>
    <row r="77" spans="1:5" x14ac:dyDescent="0.25">
      <c r="A77" t="s">
        <v>2780</v>
      </c>
      <c r="B77">
        <v>-5.6609999999999996</v>
      </c>
      <c r="C77">
        <v>124.831</v>
      </c>
      <c r="D77">
        <v>601.29999999999995</v>
      </c>
      <c r="E77">
        <v>5.9</v>
      </c>
    </row>
    <row r="78" spans="1:5" x14ac:dyDescent="0.25">
      <c r="A78" t="s">
        <v>2780</v>
      </c>
      <c r="B78">
        <v>-7.343</v>
      </c>
      <c r="C78">
        <v>124.304</v>
      </c>
      <c r="D78">
        <v>427.9</v>
      </c>
      <c r="E78">
        <v>4.8</v>
      </c>
    </row>
    <row r="79" spans="1:5" x14ac:dyDescent="0.25">
      <c r="A79" t="s">
        <v>2780</v>
      </c>
      <c r="B79">
        <v>-7.2119999999999997</v>
      </c>
      <c r="C79">
        <v>121.072</v>
      </c>
      <c r="D79">
        <v>575</v>
      </c>
      <c r="E79">
        <v>5.5</v>
      </c>
    </row>
    <row r="80" spans="1:5" x14ac:dyDescent="0.25">
      <c r="A80" t="s">
        <v>2780</v>
      </c>
      <c r="B80">
        <v>-7.2039999999999997</v>
      </c>
      <c r="C80">
        <v>124.057</v>
      </c>
      <c r="D80">
        <v>554</v>
      </c>
      <c r="E80">
        <v>5</v>
      </c>
    </row>
    <row r="81" spans="1:5" x14ac:dyDescent="0.25">
      <c r="A81" t="s">
        <v>2780</v>
      </c>
      <c r="B81">
        <v>-6.431</v>
      </c>
      <c r="C81">
        <v>123.697</v>
      </c>
      <c r="D81">
        <v>656.6</v>
      </c>
      <c r="E81">
        <v>5.3</v>
      </c>
    </row>
    <row r="82" spans="1:5" x14ac:dyDescent="0.25">
      <c r="A82" t="s">
        <v>2780</v>
      </c>
      <c r="B82">
        <v>-7.016</v>
      </c>
      <c r="C82">
        <v>125.265</v>
      </c>
      <c r="D82">
        <v>516.6</v>
      </c>
      <c r="E82">
        <v>5</v>
      </c>
    </row>
    <row r="83" spans="1:5" x14ac:dyDescent="0.25">
      <c r="A83" t="s">
        <v>2780</v>
      </c>
      <c r="B83">
        <v>-7.125</v>
      </c>
      <c r="C83">
        <v>124.166</v>
      </c>
      <c r="D83">
        <v>617.4</v>
      </c>
      <c r="E83">
        <v>4.5999999999999996</v>
      </c>
    </row>
    <row r="84" spans="1:5" x14ac:dyDescent="0.25">
      <c r="A84" t="s">
        <v>2780</v>
      </c>
      <c r="B84">
        <v>-4.8559999999999999</v>
      </c>
      <c r="C84">
        <v>125.18</v>
      </c>
      <c r="D84">
        <v>419.1</v>
      </c>
      <c r="E84">
        <v>4.7</v>
      </c>
    </row>
    <row r="85" spans="1:5" x14ac:dyDescent="0.25">
      <c r="A85" t="s">
        <v>2780</v>
      </c>
      <c r="B85">
        <v>-7.4630000000000001</v>
      </c>
      <c r="C85">
        <v>122.598</v>
      </c>
      <c r="D85">
        <v>33</v>
      </c>
      <c r="E85">
        <v>5</v>
      </c>
    </row>
    <row r="86" spans="1:5" x14ac:dyDescent="0.25">
      <c r="A86" t="s">
        <v>2780</v>
      </c>
      <c r="B86">
        <v>-6.8970000000000002</v>
      </c>
      <c r="C86">
        <v>125.048</v>
      </c>
      <c r="D86">
        <v>552.9</v>
      </c>
      <c r="E86">
        <v>4.5999999999999996</v>
      </c>
    </row>
    <row r="87" spans="1:5" x14ac:dyDescent="0.25">
      <c r="A87" t="s">
        <v>2781</v>
      </c>
      <c r="B87">
        <v>-7.4610000000000003</v>
      </c>
      <c r="C87">
        <v>120.22199999999999</v>
      </c>
      <c r="D87">
        <v>391.9</v>
      </c>
      <c r="E87">
        <v>4.5</v>
      </c>
    </row>
    <row r="88" spans="1:5" x14ac:dyDescent="0.25">
      <c r="A88" t="s">
        <v>2781</v>
      </c>
      <c r="B88">
        <v>-7.23</v>
      </c>
      <c r="C88">
        <v>120.327</v>
      </c>
      <c r="D88">
        <v>563.20000000000005</v>
      </c>
      <c r="E88">
        <v>5.0999999999999996</v>
      </c>
    </row>
    <row r="89" spans="1:5" x14ac:dyDescent="0.25">
      <c r="A89" t="s">
        <v>2781</v>
      </c>
      <c r="B89">
        <v>-7.28</v>
      </c>
      <c r="C89">
        <v>120.307</v>
      </c>
      <c r="D89">
        <v>573.9</v>
      </c>
      <c r="E89">
        <v>4.9000000000000004</v>
      </c>
    </row>
    <row r="90" spans="1:5" x14ac:dyDescent="0.25">
      <c r="A90" t="s">
        <v>2781</v>
      </c>
      <c r="B90">
        <v>-7.0250000000000004</v>
      </c>
      <c r="C90">
        <v>125.114</v>
      </c>
      <c r="D90">
        <v>553.5</v>
      </c>
      <c r="E90">
        <v>5.4</v>
      </c>
    </row>
    <row r="91" spans="1:5" x14ac:dyDescent="0.25">
      <c r="A91" t="s">
        <v>2781</v>
      </c>
      <c r="B91">
        <v>-7.4329999999999998</v>
      </c>
      <c r="C91">
        <v>124.47499999999999</v>
      </c>
      <c r="D91">
        <v>467.9</v>
      </c>
      <c r="E91">
        <v>5.3</v>
      </c>
    </row>
    <row r="92" spans="1:5" x14ac:dyDescent="0.25">
      <c r="A92" t="s">
        <v>2781</v>
      </c>
      <c r="B92">
        <v>-7.1559999999999997</v>
      </c>
      <c r="C92">
        <v>123.224</v>
      </c>
      <c r="D92">
        <v>600</v>
      </c>
      <c r="E92">
        <v>4.7</v>
      </c>
    </row>
    <row r="93" spans="1:5" x14ac:dyDescent="0.25">
      <c r="A93" t="s">
        <v>2781</v>
      </c>
      <c r="B93">
        <v>-7.2569999999999997</v>
      </c>
      <c r="C93">
        <v>124.328</v>
      </c>
      <c r="D93">
        <v>562.9</v>
      </c>
      <c r="E93">
        <v>4.9000000000000004</v>
      </c>
    </row>
    <row r="94" spans="1:5" x14ac:dyDescent="0.25">
      <c r="A94" t="s">
        <v>2781</v>
      </c>
      <c r="B94">
        <v>-6.9409999999999998</v>
      </c>
      <c r="C94">
        <v>125.04</v>
      </c>
      <c r="D94">
        <v>519.9</v>
      </c>
      <c r="E94">
        <v>4.9000000000000004</v>
      </c>
    </row>
    <row r="95" spans="1:5" x14ac:dyDescent="0.25">
      <c r="A95" t="s">
        <v>2781</v>
      </c>
      <c r="B95">
        <v>-7.077</v>
      </c>
      <c r="C95">
        <v>124.28400000000001</v>
      </c>
      <c r="D95">
        <v>595.5</v>
      </c>
      <c r="E95">
        <v>6</v>
      </c>
    </row>
    <row r="96" spans="1:5" x14ac:dyDescent="0.25">
      <c r="A96" t="s">
        <v>2782</v>
      </c>
      <c r="B96">
        <v>-7.33</v>
      </c>
      <c r="C96">
        <v>120.37</v>
      </c>
      <c r="D96">
        <v>399.7</v>
      </c>
      <c r="E96">
        <v>4.5</v>
      </c>
    </row>
    <row r="97" spans="1:5" x14ac:dyDescent="0.25">
      <c r="A97" t="s">
        <v>2782</v>
      </c>
      <c r="B97">
        <v>-6.2539999999999996</v>
      </c>
      <c r="C97">
        <v>120.108</v>
      </c>
      <c r="D97">
        <v>47.2</v>
      </c>
      <c r="E97">
        <v>5.3</v>
      </c>
    </row>
    <row r="98" spans="1:5" x14ac:dyDescent="0.25">
      <c r="A98" t="s">
        <v>2782</v>
      </c>
      <c r="B98">
        <v>-7.4550000000000001</v>
      </c>
      <c r="C98">
        <v>120.646</v>
      </c>
      <c r="D98">
        <v>613.9</v>
      </c>
      <c r="E98">
        <v>5.5</v>
      </c>
    </row>
    <row r="99" spans="1:5" x14ac:dyDescent="0.25">
      <c r="A99" t="s">
        <v>2782</v>
      </c>
      <c r="B99">
        <v>-7.3559999999999999</v>
      </c>
      <c r="C99">
        <v>120.19</v>
      </c>
      <c r="D99">
        <v>412</v>
      </c>
      <c r="E99">
        <v>5.2</v>
      </c>
    </row>
    <row r="100" spans="1:5" x14ac:dyDescent="0.25">
      <c r="A100" t="s">
        <v>2782</v>
      </c>
      <c r="B100">
        <v>-7.0720000000000001</v>
      </c>
      <c r="C100">
        <v>124.152</v>
      </c>
      <c r="D100">
        <v>627.9</v>
      </c>
      <c r="E100">
        <v>6</v>
      </c>
    </row>
    <row r="101" spans="1:5" x14ac:dyDescent="0.25">
      <c r="A101" t="s">
        <v>2782</v>
      </c>
      <c r="B101">
        <v>-6.1310000000000002</v>
      </c>
      <c r="C101">
        <v>122.745</v>
      </c>
      <c r="D101">
        <v>52.5</v>
      </c>
      <c r="E101">
        <v>5.3</v>
      </c>
    </row>
    <row r="102" spans="1:5" x14ac:dyDescent="0.25">
      <c r="A102" t="s">
        <v>2782</v>
      </c>
      <c r="B102">
        <v>-6.3529999999999998</v>
      </c>
      <c r="C102">
        <v>122.825</v>
      </c>
      <c r="D102">
        <v>33</v>
      </c>
      <c r="E102">
        <v>4.5999999999999996</v>
      </c>
    </row>
    <row r="103" spans="1:5" x14ac:dyDescent="0.25">
      <c r="A103" t="s">
        <v>2782</v>
      </c>
      <c r="B103">
        <v>-7.2309999999999999</v>
      </c>
      <c r="C103">
        <v>122.78100000000001</v>
      </c>
      <c r="D103">
        <v>611.9</v>
      </c>
      <c r="E103">
        <v>4.5999999999999996</v>
      </c>
    </row>
    <row r="104" spans="1:5" x14ac:dyDescent="0.25">
      <c r="A104" t="s">
        <v>2782</v>
      </c>
      <c r="B104">
        <v>-6.1369999999999996</v>
      </c>
      <c r="C104">
        <v>123.04600000000001</v>
      </c>
      <c r="D104">
        <v>33</v>
      </c>
      <c r="E104">
        <v>4.8</v>
      </c>
    </row>
    <row r="105" spans="1:5" x14ac:dyDescent="0.25">
      <c r="A105" t="s">
        <v>2782</v>
      </c>
      <c r="B105">
        <v>-6.1449999999999996</v>
      </c>
      <c r="C105">
        <v>122.98399999999999</v>
      </c>
      <c r="D105">
        <v>33</v>
      </c>
      <c r="E105">
        <v>4.5</v>
      </c>
    </row>
    <row r="106" spans="1:5" x14ac:dyDescent="0.25">
      <c r="A106" t="s">
        <v>2782</v>
      </c>
      <c r="B106">
        <v>-7.0940000000000003</v>
      </c>
      <c r="C106">
        <v>120.173</v>
      </c>
      <c r="D106">
        <v>423.8</v>
      </c>
      <c r="E106">
        <v>4.9000000000000004</v>
      </c>
    </row>
    <row r="107" spans="1:5" x14ac:dyDescent="0.25">
      <c r="A107" t="s">
        <v>2782</v>
      </c>
      <c r="B107">
        <v>-6.9509999999999996</v>
      </c>
      <c r="C107">
        <v>123.79600000000001</v>
      </c>
      <c r="D107">
        <v>641.29999999999995</v>
      </c>
      <c r="E107">
        <v>5.4</v>
      </c>
    </row>
    <row r="108" spans="1:5" x14ac:dyDescent="0.25">
      <c r="A108" t="s">
        <v>2782</v>
      </c>
      <c r="B108">
        <v>-7.2519999999999998</v>
      </c>
      <c r="C108">
        <v>122.408</v>
      </c>
      <c r="D108">
        <v>573.70000000000005</v>
      </c>
      <c r="E108">
        <v>4.9000000000000004</v>
      </c>
    </row>
    <row r="109" spans="1:5" x14ac:dyDescent="0.25">
      <c r="A109" t="s">
        <v>2782</v>
      </c>
      <c r="B109">
        <v>-6.8540000000000001</v>
      </c>
      <c r="C109">
        <v>123.32899999999999</v>
      </c>
      <c r="D109">
        <v>632.4</v>
      </c>
      <c r="E109">
        <v>5.2</v>
      </c>
    </row>
    <row r="110" spans="1:5" x14ac:dyDescent="0.25">
      <c r="A110" t="s">
        <v>2782</v>
      </c>
      <c r="B110">
        <v>-7.1509999999999998</v>
      </c>
      <c r="C110">
        <v>122.751</v>
      </c>
      <c r="D110">
        <v>571.70000000000005</v>
      </c>
      <c r="E110">
        <v>4.5999999999999996</v>
      </c>
    </row>
    <row r="111" spans="1:5" x14ac:dyDescent="0.25">
      <c r="A111" t="s">
        <v>2782</v>
      </c>
      <c r="B111">
        <v>-7.032</v>
      </c>
      <c r="C111">
        <v>125.196</v>
      </c>
      <c r="D111">
        <v>527.29999999999995</v>
      </c>
      <c r="E111">
        <v>4.7</v>
      </c>
    </row>
    <row r="112" spans="1:5" x14ac:dyDescent="0.25">
      <c r="A112" t="s">
        <v>2782</v>
      </c>
      <c r="B112">
        <v>-5.0380000000000003</v>
      </c>
      <c r="C112">
        <v>125.178</v>
      </c>
      <c r="D112">
        <v>566.70000000000005</v>
      </c>
      <c r="E112">
        <v>5</v>
      </c>
    </row>
    <row r="113" spans="1:5" x14ac:dyDescent="0.25">
      <c r="A113" t="s">
        <v>2782</v>
      </c>
      <c r="B113">
        <v>-5.9260000000000002</v>
      </c>
      <c r="C113">
        <v>122.82599999999999</v>
      </c>
      <c r="D113">
        <v>33</v>
      </c>
      <c r="E113">
        <v>4.5</v>
      </c>
    </row>
    <row r="114" spans="1:5" x14ac:dyDescent="0.25">
      <c r="A114" t="s">
        <v>2783</v>
      </c>
      <c r="B114">
        <v>-6.8719999999999999</v>
      </c>
      <c r="C114">
        <v>124.774</v>
      </c>
      <c r="D114">
        <v>563.29999999999995</v>
      </c>
      <c r="E114">
        <v>4.9000000000000004</v>
      </c>
    </row>
    <row r="115" spans="1:5" x14ac:dyDescent="0.25">
      <c r="A115" t="s">
        <v>2783</v>
      </c>
      <c r="B115">
        <v>-7.3419999999999996</v>
      </c>
      <c r="C115">
        <v>120.01900000000001</v>
      </c>
      <c r="D115">
        <v>625.79999999999995</v>
      </c>
      <c r="E115">
        <v>5.2</v>
      </c>
    </row>
    <row r="116" spans="1:5" x14ac:dyDescent="0.25">
      <c r="A116" t="s">
        <v>2783</v>
      </c>
      <c r="B116">
        <v>-7.1630000000000003</v>
      </c>
      <c r="C116">
        <v>124.629</v>
      </c>
      <c r="D116">
        <v>516.6</v>
      </c>
      <c r="E116">
        <v>5</v>
      </c>
    </row>
    <row r="117" spans="1:5" x14ac:dyDescent="0.25">
      <c r="A117" t="s">
        <v>2783</v>
      </c>
      <c r="B117">
        <v>-7.2279999999999998</v>
      </c>
      <c r="C117">
        <v>120.256</v>
      </c>
      <c r="D117">
        <v>479</v>
      </c>
      <c r="E117">
        <v>4.5</v>
      </c>
    </row>
    <row r="118" spans="1:5" x14ac:dyDescent="0.25">
      <c r="A118" t="s">
        <v>2783</v>
      </c>
      <c r="B118">
        <v>-7.4180000000000001</v>
      </c>
      <c r="C118">
        <v>119.959</v>
      </c>
      <c r="D118">
        <v>401.2</v>
      </c>
      <c r="E118">
        <v>4.5</v>
      </c>
    </row>
    <row r="119" spans="1:5" x14ac:dyDescent="0.25">
      <c r="A119" t="s">
        <v>2783</v>
      </c>
      <c r="B119">
        <v>-4.8739999999999997</v>
      </c>
      <c r="C119">
        <v>123.53700000000001</v>
      </c>
      <c r="D119">
        <v>33</v>
      </c>
      <c r="E119">
        <v>5.0999999999999996</v>
      </c>
    </row>
    <row r="120" spans="1:5" x14ac:dyDescent="0.25">
      <c r="A120" t="s">
        <v>2783</v>
      </c>
      <c r="B120">
        <v>-7.1539999999999999</v>
      </c>
      <c r="C120">
        <v>120.751</v>
      </c>
      <c r="D120">
        <v>485.2</v>
      </c>
      <c r="E120">
        <v>5.2</v>
      </c>
    </row>
    <row r="121" spans="1:5" x14ac:dyDescent="0.25">
      <c r="A121" t="s">
        <v>2783</v>
      </c>
      <c r="B121">
        <v>-6.85</v>
      </c>
      <c r="C121">
        <v>125.161</v>
      </c>
      <c r="D121">
        <v>542.5</v>
      </c>
      <c r="E121">
        <v>4.5</v>
      </c>
    </row>
    <row r="122" spans="1:5" x14ac:dyDescent="0.25">
      <c r="A122" t="s">
        <v>2783</v>
      </c>
      <c r="B122">
        <v>-7.1230000000000002</v>
      </c>
      <c r="C122">
        <v>123.29</v>
      </c>
      <c r="D122">
        <v>603.6</v>
      </c>
      <c r="E122">
        <v>5.5</v>
      </c>
    </row>
    <row r="123" spans="1:5" x14ac:dyDescent="0.25">
      <c r="A123" t="s">
        <v>2783</v>
      </c>
      <c r="B123">
        <v>-7.3929999999999998</v>
      </c>
      <c r="C123">
        <v>119.98699999999999</v>
      </c>
      <c r="D123">
        <v>629.9</v>
      </c>
      <c r="E123">
        <v>4.8</v>
      </c>
    </row>
    <row r="124" spans="1:5" x14ac:dyDescent="0.25">
      <c r="A124" t="s">
        <v>2783</v>
      </c>
      <c r="B124">
        <v>-7.2329999999999997</v>
      </c>
      <c r="C124">
        <v>125.28700000000001</v>
      </c>
      <c r="D124">
        <v>524.6</v>
      </c>
      <c r="E124">
        <v>4.9000000000000004</v>
      </c>
    </row>
    <row r="125" spans="1:5" x14ac:dyDescent="0.25">
      <c r="A125" t="s">
        <v>2783</v>
      </c>
      <c r="B125">
        <v>-7.0659999999999998</v>
      </c>
      <c r="C125">
        <v>123.218</v>
      </c>
      <c r="D125">
        <v>649.79999999999995</v>
      </c>
      <c r="E125">
        <v>5.2</v>
      </c>
    </row>
    <row r="126" spans="1:5" x14ac:dyDescent="0.25">
      <c r="A126" t="s">
        <v>2783</v>
      </c>
      <c r="B126">
        <v>-7.077</v>
      </c>
      <c r="C126">
        <v>123.283</v>
      </c>
      <c r="D126">
        <v>653.79999999999995</v>
      </c>
      <c r="E126">
        <v>4.5999999999999996</v>
      </c>
    </row>
    <row r="127" spans="1:5" x14ac:dyDescent="0.25">
      <c r="A127" t="s">
        <v>2784</v>
      </c>
      <c r="B127">
        <v>-7.2729999999999997</v>
      </c>
      <c r="C127">
        <v>122.28100000000001</v>
      </c>
      <c r="D127">
        <v>613</v>
      </c>
      <c r="E127">
        <v>5.6</v>
      </c>
    </row>
    <row r="128" spans="1:5" x14ac:dyDescent="0.25">
      <c r="A128" t="s">
        <v>2784</v>
      </c>
      <c r="B128">
        <v>-7.3390000000000004</v>
      </c>
      <c r="C128">
        <v>122.238</v>
      </c>
      <c r="D128">
        <v>631.9</v>
      </c>
      <c r="E128">
        <v>5.4</v>
      </c>
    </row>
    <row r="129" spans="1:5" x14ac:dyDescent="0.25">
      <c r="A129" t="s">
        <v>2784</v>
      </c>
      <c r="B129">
        <v>-6.8959999999999999</v>
      </c>
      <c r="C129">
        <v>125.054</v>
      </c>
      <c r="D129">
        <v>540.79999999999995</v>
      </c>
      <c r="E129">
        <v>5.2</v>
      </c>
    </row>
    <row r="130" spans="1:5" x14ac:dyDescent="0.25">
      <c r="A130" t="s">
        <v>2784</v>
      </c>
      <c r="B130">
        <v>-6.9089999999999998</v>
      </c>
      <c r="C130">
        <v>124.971</v>
      </c>
      <c r="D130">
        <v>529.4</v>
      </c>
      <c r="E130">
        <v>5.2</v>
      </c>
    </row>
    <row r="131" spans="1:5" x14ac:dyDescent="0.25">
      <c r="A131" t="s">
        <v>2784</v>
      </c>
      <c r="B131">
        <v>-7.351</v>
      </c>
      <c r="C131">
        <v>121.812</v>
      </c>
      <c r="D131">
        <v>293.5</v>
      </c>
      <c r="E131">
        <v>4.5999999999999996</v>
      </c>
    </row>
    <row r="132" spans="1:5" x14ac:dyDescent="0.25">
      <c r="A132" t="s">
        <v>2784</v>
      </c>
      <c r="B132">
        <v>-7.202</v>
      </c>
      <c r="C132">
        <v>123.871</v>
      </c>
      <c r="D132">
        <v>577.6</v>
      </c>
      <c r="E132">
        <v>5.3</v>
      </c>
    </row>
    <row r="133" spans="1:5" x14ac:dyDescent="0.25">
      <c r="A133" t="s">
        <v>2784</v>
      </c>
      <c r="B133">
        <v>-7.1829999999999998</v>
      </c>
      <c r="C133">
        <v>124.765</v>
      </c>
      <c r="D133">
        <v>554.1</v>
      </c>
      <c r="E133">
        <v>5.2</v>
      </c>
    </row>
    <row r="134" spans="1:5" x14ac:dyDescent="0.25">
      <c r="A134" t="s">
        <v>2784</v>
      </c>
      <c r="B134">
        <v>-7.1520000000000001</v>
      </c>
      <c r="C134">
        <v>120.465</v>
      </c>
      <c r="D134">
        <v>566.5</v>
      </c>
      <c r="E134">
        <v>5.0999999999999996</v>
      </c>
    </row>
    <row r="135" spans="1:5" x14ac:dyDescent="0.25">
      <c r="A135" t="s">
        <v>2784</v>
      </c>
      <c r="B135">
        <v>-7.2290000000000001</v>
      </c>
      <c r="C135">
        <v>120.26</v>
      </c>
      <c r="D135">
        <v>391.7</v>
      </c>
      <c r="E135">
        <v>4.7</v>
      </c>
    </row>
    <row r="136" spans="1:5" x14ac:dyDescent="0.25">
      <c r="A136" t="s">
        <v>2784</v>
      </c>
      <c r="B136">
        <v>-7.3419999999999996</v>
      </c>
      <c r="C136">
        <v>120.19</v>
      </c>
      <c r="D136">
        <v>424.1</v>
      </c>
      <c r="E136">
        <v>5.7</v>
      </c>
    </row>
    <row r="137" spans="1:5" x14ac:dyDescent="0.25">
      <c r="A137" t="s">
        <v>2784</v>
      </c>
      <c r="B137">
        <v>-6.8550000000000004</v>
      </c>
      <c r="C137">
        <v>122.434</v>
      </c>
      <c r="D137">
        <v>268.89999999999998</v>
      </c>
      <c r="E137">
        <v>4.9000000000000004</v>
      </c>
    </row>
    <row r="138" spans="1:5" x14ac:dyDescent="0.25">
      <c r="A138" t="s">
        <v>2784</v>
      </c>
      <c r="B138">
        <v>-7.3810000000000002</v>
      </c>
      <c r="C138">
        <v>120.295</v>
      </c>
      <c r="D138">
        <v>595.6</v>
      </c>
      <c r="E138">
        <v>5.8</v>
      </c>
    </row>
    <row r="139" spans="1:5" x14ac:dyDescent="0.25">
      <c r="A139" t="s">
        <v>2784</v>
      </c>
      <c r="B139">
        <v>-5.8250000000000002</v>
      </c>
      <c r="C139">
        <v>125.116</v>
      </c>
      <c r="D139">
        <v>31.3</v>
      </c>
      <c r="E139">
        <v>4.8</v>
      </c>
    </row>
    <row r="140" spans="1:5" x14ac:dyDescent="0.25">
      <c r="A140" t="s">
        <v>2784</v>
      </c>
      <c r="B140">
        <v>-7.4669999999999996</v>
      </c>
      <c r="C140">
        <v>123.392</v>
      </c>
      <c r="D140">
        <v>290.60000000000002</v>
      </c>
      <c r="E140">
        <v>4.5999999999999996</v>
      </c>
    </row>
    <row r="141" spans="1:5" x14ac:dyDescent="0.25">
      <c r="A141" t="s">
        <v>2784</v>
      </c>
      <c r="B141">
        <v>-6.9450000000000003</v>
      </c>
      <c r="C141">
        <v>123.39100000000001</v>
      </c>
      <c r="D141">
        <v>612.20000000000005</v>
      </c>
      <c r="E141">
        <v>4.7</v>
      </c>
    </row>
    <row r="142" spans="1:5" x14ac:dyDescent="0.25">
      <c r="A142" t="s">
        <v>2784</v>
      </c>
      <c r="B142">
        <v>-6.9889999999999999</v>
      </c>
      <c r="C142">
        <v>123.28</v>
      </c>
      <c r="D142">
        <v>612.29999999999995</v>
      </c>
      <c r="E142">
        <v>4.8</v>
      </c>
    </row>
    <row r="143" spans="1:5" x14ac:dyDescent="0.25">
      <c r="A143" t="s">
        <v>2784</v>
      </c>
      <c r="B143">
        <v>-6.9930000000000003</v>
      </c>
      <c r="C143">
        <v>123.4</v>
      </c>
      <c r="D143">
        <v>626.20000000000005</v>
      </c>
      <c r="E143">
        <v>5.2</v>
      </c>
    </row>
    <row r="144" spans="1:5" x14ac:dyDescent="0.25">
      <c r="A144" t="s">
        <v>2784</v>
      </c>
      <c r="B144">
        <v>-7.101</v>
      </c>
      <c r="C144">
        <v>123.386</v>
      </c>
      <c r="D144">
        <v>625.9</v>
      </c>
      <c r="E144">
        <v>5.4</v>
      </c>
    </row>
    <row r="145" spans="1:5" x14ac:dyDescent="0.25">
      <c r="A145" t="s">
        <v>2784</v>
      </c>
      <c r="B145">
        <v>-6.9569999999999999</v>
      </c>
      <c r="C145">
        <v>123.374</v>
      </c>
      <c r="D145">
        <v>626.1</v>
      </c>
      <c r="E145">
        <v>4.5</v>
      </c>
    </row>
    <row r="146" spans="1:5" x14ac:dyDescent="0.25">
      <c r="A146" t="s">
        <v>2785</v>
      </c>
      <c r="B146">
        <v>-7.3289999999999997</v>
      </c>
      <c r="C146">
        <v>121.626</v>
      </c>
      <c r="D146">
        <v>506.5</v>
      </c>
      <c r="E146">
        <v>5</v>
      </c>
    </row>
    <row r="147" spans="1:5" x14ac:dyDescent="0.25">
      <c r="A147" t="s">
        <v>2785</v>
      </c>
      <c r="B147">
        <v>-7.32</v>
      </c>
      <c r="C147">
        <v>120.69199999999999</v>
      </c>
      <c r="D147">
        <v>490.1</v>
      </c>
      <c r="E147">
        <v>4.5999999999999996</v>
      </c>
    </row>
    <row r="148" spans="1:5" x14ac:dyDescent="0.25">
      <c r="A148" t="s">
        <v>2785</v>
      </c>
      <c r="B148">
        <v>-6.9740000000000002</v>
      </c>
      <c r="C148">
        <v>122.407</v>
      </c>
      <c r="D148">
        <v>33</v>
      </c>
      <c r="E148">
        <v>4.5999999999999996</v>
      </c>
    </row>
    <row r="149" spans="1:5" x14ac:dyDescent="0.25">
      <c r="A149" t="s">
        <v>2785</v>
      </c>
      <c r="B149">
        <v>-7.1909999999999998</v>
      </c>
      <c r="C149">
        <v>122.715</v>
      </c>
      <c r="D149">
        <v>620.29999999999995</v>
      </c>
      <c r="E149">
        <v>5.8</v>
      </c>
    </row>
    <row r="150" spans="1:5" x14ac:dyDescent="0.25">
      <c r="A150" t="s">
        <v>2785</v>
      </c>
      <c r="B150">
        <v>-7.2370000000000001</v>
      </c>
      <c r="C150">
        <v>122.68899999999999</v>
      </c>
      <c r="D150">
        <v>632.20000000000005</v>
      </c>
      <c r="E150">
        <v>5.4</v>
      </c>
    </row>
    <row r="151" spans="1:5" x14ac:dyDescent="0.25">
      <c r="A151" t="s">
        <v>2785</v>
      </c>
      <c r="B151">
        <v>-6.09</v>
      </c>
      <c r="C151">
        <v>122.69199999999999</v>
      </c>
      <c r="D151">
        <v>33</v>
      </c>
      <c r="E151">
        <v>4.7</v>
      </c>
    </row>
    <row r="152" spans="1:5" x14ac:dyDescent="0.25">
      <c r="A152" t="s">
        <v>2785</v>
      </c>
      <c r="B152">
        <v>-6.99</v>
      </c>
      <c r="C152">
        <v>124.807</v>
      </c>
      <c r="D152">
        <v>551.5</v>
      </c>
      <c r="E152">
        <v>5.3</v>
      </c>
    </row>
    <row r="153" spans="1:5" x14ac:dyDescent="0.25">
      <c r="A153" t="s">
        <v>2786</v>
      </c>
      <c r="B153">
        <v>-7.1829999999999998</v>
      </c>
      <c r="C153">
        <v>125.242</v>
      </c>
      <c r="D153">
        <v>527.1</v>
      </c>
      <c r="E153">
        <v>5.3</v>
      </c>
    </row>
    <row r="154" spans="1:5" x14ac:dyDescent="0.25">
      <c r="A154" t="s">
        <v>2786</v>
      </c>
      <c r="B154">
        <v>-7.3630000000000004</v>
      </c>
      <c r="C154">
        <v>120.363</v>
      </c>
      <c r="D154">
        <v>588.9</v>
      </c>
      <c r="E154">
        <v>7.1</v>
      </c>
    </row>
    <row r="155" spans="1:5" x14ac:dyDescent="0.25">
      <c r="A155" t="s">
        <v>2786</v>
      </c>
      <c r="B155">
        <v>-7.4329999999999998</v>
      </c>
      <c r="C155">
        <v>120.426</v>
      </c>
      <c r="D155">
        <v>636.29999999999995</v>
      </c>
      <c r="E155">
        <v>4.5999999999999996</v>
      </c>
    </row>
    <row r="156" spans="1:5" x14ac:dyDescent="0.25">
      <c r="A156" t="s">
        <v>2786</v>
      </c>
      <c r="B156">
        <v>-7.0039999999999996</v>
      </c>
      <c r="C156">
        <v>125.074</v>
      </c>
      <c r="D156">
        <v>567</v>
      </c>
      <c r="E156">
        <v>5</v>
      </c>
    </row>
    <row r="157" spans="1:5" x14ac:dyDescent="0.25">
      <c r="A157" t="s">
        <v>2786</v>
      </c>
      <c r="B157">
        <v>-7.2229999999999999</v>
      </c>
      <c r="C157">
        <v>120.5</v>
      </c>
      <c r="D157">
        <v>521.79999999999995</v>
      </c>
      <c r="E157">
        <v>4.9000000000000004</v>
      </c>
    </row>
    <row r="158" spans="1:5" x14ac:dyDescent="0.25">
      <c r="A158" t="s">
        <v>2786</v>
      </c>
      <c r="B158">
        <v>-6.7169999999999996</v>
      </c>
      <c r="C158">
        <v>124.82899999999999</v>
      </c>
      <c r="D158">
        <v>590.29999999999995</v>
      </c>
      <c r="E158">
        <v>4.5999999999999996</v>
      </c>
    </row>
    <row r="159" spans="1:5" x14ac:dyDescent="0.25">
      <c r="A159" t="s">
        <v>2786</v>
      </c>
      <c r="B159">
        <v>-7.0149999999999997</v>
      </c>
      <c r="C159">
        <v>124.913</v>
      </c>
      <c r="D159">
        <v>546.5</v>
      </c>
      <c r="E159">
        <v>5</v>
      </c>
    </row>
    <row r="160" spans="1:5" x14ac:dyDescent="0.25">
      <c r="A160" t="s">
        <v>2786</v>
      </c>
      <c r="B160">
        <v>-6.2229999999999999</v>
      </c>
      <c r="C160">
        <v>124.28700000000001</v>
      </c>
      <c r="D160">
        <v>35.5</v>
      </c>
      <c r="E160">
        <v>5.2</v>
      </c>
    </row>
    <row r="161" spans="1:5" x14ac:dyDescent="0.25">
      <c r="A161" t="s">
        <v>2786</v>
      </c>
      <c r="B161">
        <v>-6.2779999999999996</v>
      </c>
      <c r="C161">
        <v>124.294</v>
      </c>
      <c r="D161">
        <v>33</v>
      </c>
      <c r="E161">
        <v>5.2</v>
      </c>
    </row>
    <row r="162" spans="1:5" x14ac:dyDescent="0.25">
      <c r="A162" t="s">
        <v>2786</v>
      </c>
      <c r="B162">
        <v>-7.202</v>
      </c>
      <c r="C162">
        <v>122.996</v>
      </c>
      <c r="D162">
        <v>544.79999999999995</v>
      </c>
      <c r="E162">
        <v>5</v>
      </c>
    </row>
    <row r="163" spans="1:5" x14ac:dyDescent="0.25">
      <c r="A163" t="s">
        <v>2787</v>
      </c>
      <c r="B163">
        <v>-7.3289999999999997</v>
      </c>
      <c r="C163">
        <v>120.416</v>
      </c>
      <c r="D163">
        <v>495.2</v>
      </c>
      <c r="E163">
        <v>4.9000000000000004</v>
      </c>
    </row>
    <row r="164" spans="1:5" x14ac:dyDescent="0.25">
      <c r="A164" t="s">
        <v>2787</v>
      </c>
      <c r="B164">
        <v>-7.4950000000000001</v>
      </c>
      <c r="C164">
        <v>119.423</v>
      </c>
      <c r="D164">
        <v>272.39999999999998</v>
      </c>
      <c r="E164">
        <v>4.5</v>
      </c>
    </row>
    <row r="165" spans="1:5" x14ac:dyDescent="0.25">
      <c r="A165" t="s">
        <v>2787</v>
      </c>
      <c r="B165">
        <v>-7.2039999999999997</v>
      </c>
      <c r="C165">
        <v>122.533</v>
      </c>
      <c r="D165">
        <v>536.4</v>
      </c>
      <c r="E165">
        <v>6.9</v>
      </c>
    </row>
    <row r="166" spans="1:5" x14ac:dyDescent="0.25">
      <c r="A166" t="s">
        <v>2787</v>
      </c>
      <c r="B166">
        <v>-7.2359999999999998</v>
      </c>
      <c r="C166">
        <v>122.354</v>
      </c>
      <c r="D166">
        <v>550</v>
      </c>
      <c r="E166">
        <v>5.3</v>
      </c>
    </row>
    <row r="167" spans="1:5" x14ac:dyDescent="0.25">
      <c r="A167" t="s">
        <v>2787</v>
      </c>
      <c r="B167">
        <v>-6.9180000000000001</v>
      </c>
      <c r="C167">
        <v>124.67700000000001</v>
      </c>
      <c r="D167">
        <v>579.79999999999995</v>
      </c>
      <c r="E167">
        <v>4.5</v>
      </c>
    </row>
    <row r="168" spans="1:5" x14ac:dyDescent="0.25">
      <c r="A168" t="s">
        <v>2787</v>
      </c>
      <c r="B168">
        <v>-7.22</v>
      </c>
      <c r="C168">
        <v>123.76900000000001</v>
      </c>
      <c r="D168">
        <v>604.4</v>
      </c>
      <c r="E168">
        <v>5.0999999999999996</v>
      </c>
    </row>
    <row r="169" spans="1:5" x14ac:dyDescent="0.25">
      <c r="A169" t="s">
        <v>2787</v>
      </c>
      <c r="B169">
        <v>-6.8849999999999998</v>
      </c>
      <c r="C169">
        <v>125.24299999999999</v>
      </c>
      <c r="D169">
        <v>556.29999999999995</v>
      </c>
      <c r="E169">
        <v>5</v>
      </c>
    </row>
    <row r="170" spans="1:5" x14ac:dyDescent="0.25">
      <c r="A170" t="s">
        <v>2787</v>
      </c>
      <c r="B170">
        <v>-7.22</v>
      </c>
      <c r="C170">
        <v>125.15300000000001</v>
      </c>
      <c r="D170">
        <v>401.7</v>
      </c>
      <c r="E170">
        <v>4.8</v>
      </c>
    </row>
    <row r="171" spans="1:5" x14ac:dyDescent="0.25">
      <c r="A171" t="s">
        <v>2787</v>
      </c>
      <c r="B171">
        <v>-7.3869999999999996</v>
      </c>
      <c r="C171">
        <v>119.468</v>
      </c>
      <c r="D171">
        <v>242.1</v>
      </c>
      <c r="E171">
        <v>4.9000000000000004</v>
      </c>
    </row>
    <row r="172" spans="1:5" x14ac:dyDescent="0.25">
      <c r="A172" t="s">
        <v>2787</v>
      </c>
      <c r="B172">
        <v>-6.7480000000000002</v>
      </c>
      <c r="C172">
        <v>125.25</v>
      </c>
      <c r="D172">
        <v>533.1</v>
      </c>
      <c r="E172">
        <v>4.9000000000000004</v>
      </c>
    </row>
    <row r="173" spans="1:5" x14ac:dyDescent="0.25">
      <c r="A173" t="s">
        <v>2787</v>
      </c>
      <c r="B173">
        <v>-7.149</v>
      </c>
      <c r="C173">
        <v>125.17400000000001</v>
      </c>
      <c r="D173">
        <v>525.20000000000005</v>
      </c>
      <c r="E173">
        <v>4.8</v>
      </c>
    </row>
    <row r="174" spans="1:5" x14ac:dyDescent="0.25">
      <c r="A174" t="s">
        <v>2787</v>
      </c>
      <c r="B174">
        <v>-7.5330000000000004</v>
      </c>
      <c r="C174">
        <v>122.83799999999999</v>
      </c>
      <c r="D174">
        <v>262</v>
      </c>
      <c r="E174">
        <v>4.5999999999999996</v>
      </c>
    </row>
    <row r="175" spans="1:5" x14ac:dyDescent="0.25">
      <c r="A175" t="s">
        <v>2788</v>
      </c>
      <c r="B175">
        <v>-7.28</v>
      </c>
      <c r="C175">
        <v>122.46299999999999</v>
      </c>
      <c r="D175">
        <v>556.4</v>
      </c>
      <c r="E175">
        <v>5</v>
      </c>
    </row>
    <row r="176" spans="1:5" x14ac:dyDescent="0.25">
      <c r="A176" t="s">
        <v>2788</v>
      </c>
      <c r="B176">
        <v>-7.4450000000000003</v>
      </c>
      <c r="C176">
        <v>124.732</v>
      </c>
      <c r="D176">
        <v>386.7</v>
      </c>
      <c r="E176">
        <v>5.0999999999999996</v>
      </c>
    </row>
    <row r="177" spans="1:5" x14ac:dyDescent="0.25">
      <c r="A177" t="s">
        <v>2788</v>
      </c>
      <c r="B177">
        <v>-7.0990000000000002</v>
      </c>
      <c r="C177">
        <v>124.19499999999999</v>
      </c>
      <c r="D177">
        <v>610.70000000000005</v>
      </c>
      <c r="E177">
        <v>5.2</v>
      </c>
    </row>
    <row r="178" spans="1:5" x14ac:dyDescent="0.25">
      <c r="A178" t="s">
        <v>2788</v>
      </c>
      <c r="B178">
        <v>-6.5090000000000003</v>
      </c>
      <c r="C178">
        <v>124.31699999999999</v>
      </c>
      <c r="D178">
        <v>597.4</v>
      </c>
      <c r="E178">
        <v>4.9000000000000004</v>
      </c>
    </row>
    <row r="179" spans="1:5" x14ac:dyDescent="0.25">
      <c r="A179" t="s">
        <v>2788</v>
      </c>
      <c r="B179">
        <v>-7.4279999999999999</v>
      </c>
      <c r="C179">
        <v>125.233</v>
      </c>
      <c r="D179">
        <v>326</v>
      </c>
      <c r="E179">
        <v>4.5</v>
      </c>
    </row>
    <row r="180" spans="1:5" x14ac:dyDescent="0.25">
      <c r="A180" t="s">
        <v>2788</v>
      </c>
      <c r="B180">
        <v>-7.1440000000000001</v>
      </c>
      <c r="C180">
        <v>125.09099999999999</v>
      </c>
      <c r="D180">
        <v>507.7</v>
      </c>
      <c r="E180">
        <v>4.9000000000000004</v>
      </c>
    </row>
    <row r="181" spans="1:5" x14ac:dyDescent="0.25">
      <c r="A181" t="s">
        <v>2788</v>
      </c>
      <c r="B181">
        <v>-7.1130000000000004</v>
      </c>
      <c r="C181">
        <v>125.063</v>
      </c>
      <c r="D181">
        <v>492.4</v>
      </c>
      <c r="E181">
        <v>5.2</v>
      </c>
    </row>
    <row r="182" spans="1:5" x14ac:dyDescent="0.25">
      <c r="A182" t="s">
        <v>2788</v>
      </c>
      <c r="B182">
        <v>-7.1260000000000003</v>
      </c>
      <c r="C182">
        <v>121.748</v>
      </c>
      <c r="D182">
        <v>485.9</v>
      </c>
      <c r="E182">
        <v>6.6</v>
      </c>
    </row>
    <row r="183" spans="1:5" x14ac:dyDescent="0.25">
      <c r="A183" t="s">
        <v>2788</v>
      </c>
      <c r="B183">
        <v>-7.32</v>
      </c>
      <c r="C183">
        <v>120.35599999999999</v>
      </c>
      <c r="D183">
        <v>638.5</v>
      </c>
      <c r="E183">
        <v>5</v>
      </c>
    </row>
    <row r="184" spans="1:5" x14ac:dyDescent="0.25">
      <c r="A184" t="s">
        <v>2788</v>
      </c>
      <c r="B184">
        <v>-7.407</v>
      </c>
      <c r="C184">
        <v>120.321</v>
      </c>
      <c r="D184">
        <v>657.6</v>
      </c>
      <c r="E184">
        <v>4.7</v>
      </c>
    </row>
    <row r="185" spans="1:5" x14ac:dyDescent="0.25">
      <c r="A185" t="s">
        <v>2788</v>
      </c>
      <c r="B185">
        <v>-7.3179999999999996</v>
      </c>
      <c r="C185">
        <v>120.33799999999999</v>
      </c>
      <c r="D185">
        <v>398.9</v>
      </c>
      <c r="E185">
        <v>4.7</v>
      </c>
    </row>
    <row r="186" spans="1:5" x14ac:dyDescent="0.25">
      <c r="A186" t="s">
        <v>2788</v>
      </c>
      <c r="B186">
        <v>-7.0259999999999998</v>
      </c>
      <c r="C186">
        <v>122.97</v>
      </c>
      <c r="D186">
        <v>33</v>
      </c>
      <c r="E186">
        <v>4.7</v>
      </c>
    </row>
    <row r="187" spans="1:5" x14ac:dyDescent="0.25">
      <c r="A187" t="s">
        <v>2788</v>
      </c>
      <c r="B187">
        <v>-7.5289999999999999</v>
      </c>
      <c r="C187">
        <v>120.803</v>
      </c>
      <c r="D187">
        <v>39.4</v>
      </c>
      <c r="E187">
        <v>4.9000000000000004</v>
      </c>
    </row>
    <row r="188" spans="1:5" x14ac:dyDescent="0.25">
      <c r="A188" t="s">
        <v>2789</v>
      </c>
      <c r="B188">
        <v>-4.548</v>
      </c>
      <c r="C188">
        <v>119.94799999999999</v>
      </c>
      <c r="D188">
        <v>60</v>
      </c>
      <c r="E188">
        <v>5</v>
      </c>
    </row>
    <row r="189" spans="1:5" x14ac:dyDescent="0.25">
      <c r="A189" t="s">
        <v>2789</v>
      </c>
      <c r="B189">
        <v>-5.2430000000000003</v>
      </c>
      <c r="C189">
        <v>123.535</v>
      </c>
      <c r="D189">
        <v>33</v>
      </c>
      <c r="E189">
        <v>5</v>
      </c>
    </row>
    <row r="190" spans="1:5" x14ac:dyDescent="0.25">
      <c r="A190" t="s">
        <v>2789</v>
      </c>
      <c r="B190">
        <v>-7.4930000000000003</v>
      </c>
      <c r="C190">
        <v>118.962</v>
      </c>
      <c r="D190">
        <v>39.799999999999997</v>
      </c>
      <c r="E190">
        <v>4.8</v>
      </c>
    </row>
    <row r="191" spans="1:5" x14ac:dyDescent="0.25">
      <c r="A191" t="s">
        <v>2789</v>
      </c>
      <c r="B191">
        <v>-7.1769999999999996</v>
      </c>
      <c r="C191">
        <v>120.27200000000001</v>
      </c>
      <c r="D191">
        <v>585.70000000000005</v>
      </c>
      <c r="E191">
        <v>4.9000000000000004</v>
      </c>
    </row>
    <row r="192" spans="1:5" x14ac:dyDescent="0.25">
      <c r="A192" t="s">
        <v>2789</v>
      </c>
      <c r="B192">
        <v>-6.069</v>
      </c>
      <c r="C192">
        <v>125.06399999999999</v>
      </c>
      <c r="D192">
        <v>592.5</v>
      </c>
      <c r="E192">
        <v>5.0999999999999996</v>
      </c>
    </row>
    <row r="193" spans="1:5" x14ac:dyDescent="0.25">
      <c r="A193" t="s">
        <v>2789</v>
      </c>
      <c r="B193">
        <v>-6.8179999999999996</v>
      </c>
      <c r="C193">
        <v>125.246</v>
      </c>
      <c r="D193">
        <v>525.4</v>
      </c>
      <c r="E193">
        <v>4.8</v>
      </c>
    </row>
    <row r="194" spans="1:5" x14ac:dyDescent="0.25">
      <c r="A194" t="s">
        <v>2789</v>
      </c>
      <c r="B194">
        <v>-7.2750000000000004</v>
      </c>
      <c r="C194">
        <v>119.75</v>
      </c>
      <c r="D194">
        <v>447.8</v>
      </c>
      <c r="E194">
        <v>5.0999999999999996</v>
      </c>
    </row>
    <row r="195" spans="1:5" x14ac:dyDescent="0.25">
      <c r="A195" t="s">
        <v>2790</v>
      </c>
      <c r="B195">
        <v>-6.09</v>
      </c>
      <c r="C195">
        <v>123.489</v>
      </c>
      <c r="D195">
        <v>638.4</v>
      </c>
      <c r="E195">
        <v>4.7</v>
      </c>
    </row>
    <row r="196" spans="1:5" x14ac:dyDescent="0.25">
      <c r="A196" t="s">
        <v>2790</v>
      </c>
      <c r="B196">
        <v>-7.2619999999999996</v>
      </c>
      <c r="C196">
        <v>119.17</v>
      </c>
      <c r="D196">
        <v>606.29999999999995</v>
      </c>
      <c r="E196">
        <v>4.9000000000000004</v>
      </c>
    </row>
    <row r="197" spans="1:5" x14ac:dyDescent="0.25">
      <c r="A197" t="s">
        <v>2790</v>
      </c>
      <c r="B197">
        <v>-7.2640000000000002</v>
      </c>
      <c r="C197">
        <v>120.425</v>
      </c>
      <c r="D197">
        <v>553.1</v>
      </c>
      <c r="E197">
        <v>5</v>
      </c>
    </row>
    <row r="198" spans="1:5" x14ac:dyDescent="0.25">
      <c r="A198" t="s">
        <v>2790</v>
      </c>
      <c r="B198">
        <v>-7.2910000000000004</v>
      </c>
      <c r="C198">
        <v>123.36199999999999</v>
      </c>
      <c r="D198">
        <v>601.5</v>
      </c>
      <c r="E198">
        <v>4.8</v>
      </c>
    </row>
    <row r="199" spans="1:5" x14ac:dyDescent="0.25">
      <c r="A199" t="s">
        <v>2790</v>
      </c>
      <c r="B199">
        <v>-7.5350000000000001</v>
      </c>
      <c r="C199">
        <v>120.074</v>
      </c>
      <c r="D199">
        <v>414.7</v>
      </c>
      <c r="E199">
        <v>5</v>
      </c>
    </row>
    <row r="200" spans="1:5" x14ac:dyDescent="0.25">
      <c r="A200" t="s">
        <v>2790</v>
      </c>
      <c r="B200">
        <v>-7.3869999999999996</v>
      </c>
      <c r="C200">
        <v>119.771</v>
      </c>
      <c r="D200">
        <v>433.6</v>
      </c>
      <c r="E200">
        <v>5.0999999999999996</v>
      </c>
    </row>
    <row r="201" spans="1:5" x14ac:dyDescent="0.25">
      <c r="A201" t="s">
        <v>2790</v>
      </c>
      <c r="B201">
        <v>-7.2140000000000004</v>
      </c>
      <c r="C201">
        <v>120.501</v>
      </c>
      <c r="D201">
        <v>551.4</v>
      </c>
      <c r="E201">
        <v>4.9000000000000004</v>
      </c>
    </row>
    <row r="202" spans="1:5" x14ac:dyDescent="0.25">
      <c r="A202" t="s">
        <v>2790</v>
      </c>
      <c r="B202">
        <v>-6.9649999999999999</v>
      </c>
      <c r="C202">
        <v>124.111</v>
      </c>
      <c r="D202">
        <v>595.6</v>
      </c>
      <c r="E202">
        <v>6.2</v>
      </c>
    </row>
    <row r="203" spans="1:5" x14ac:dyDescent="0.25">
      <c r="A203" t="s">
        <v>2791</v>
      </c>
      <c r="B203">
        <v>-6.9160000000000004</v>
      </c>
      <c r="C203">
        <v>118.723</v>
      </c>
      <c r="D203">
        <v>149.69999999999999</v>
      </c>
      <c r="E203">
        <v>4.5999999999999996</v>
      </c>
    </row>
    <row r="204" spans="1:5" x14ac:dyDescent="0.25">
      <c r="A204" t="s">
        <v>2791</v>
      </c>
      <c r="B204">
        <v>-7.2990000000000004</v>
      </c>
      <c r="C204">
        <v>122.363</v>
      </c>
      <c r="D204">
        <v>494.5</v>
      </c>
      <c r="E204">
        <v>4.5999999999999996</v>
      </c>
    </row>
    <row r="205" spans="1:5" x14ac:dyDescent="0.25">
      <c r="A205" t="s">
        <v>2791</v>
      </c>
      <c r="B205">
        <v>-5.8650000000000002</v>
      </c>
      <c r="C205">
        <v>125.163</v>
      </c>
      <c r="D205">
        <v>583.1</v>
      </c>
      <c r="E205">
        <v>4.5999999999999996</v>
      </c>
    </row>
    <row r="206" spans="1:5" x14ac:dyDescent="0.25">
      <c r="A206" t="s">
        <v>2791</v>
      </c>
      <c r="B206">
        <v>-7.08</v>
      </c>
      <c r="C206">
        <v>125.117</v>
      </c>
      <c r="D206">
        <v>520.6</v>
      </c>
      <c r="E206">
        <v>4.9000000000000004</v>
      </c>
    </row>
    <row r="207" spans="1:5" x14ac:dyDescent="0.25">
      <c r="A207" t="s">
        <v>2791</v>
      </c>
      <c r="B207">
        <v>-6.992</v>
      </c>
      <c r="C207">
        <v>123.66500000000001</v>
      </c>
      <c r="D207">
        <v>630.6</v>
      </c>
      <c r="E207">
        <v>5.2</v>
      </c>
    </row>
    <row r="208" spans="1:5" x14ac:dyDescent="0.25">
      <c r="A208" t="s">
        <v>2791</v>
      </c>
      <c r="B208">
        <v>-6.992</v>
      </c>
      <c r="C208">
        <v>124.84099999999999</v>
      </c>
      <c r="D208">
        <v>572.29999999999995</v>
      </c>
      <c r="E208">
        <v>4.5999999999999996</v>
      </c>
    </row>
    <row r="209" spans="1:5" x14ac:dyDescent="0.25">
      <c r="A209" t="s">
        <v>2791</v>
      </c>
      <c r="B209">
        <v>-7.0810000000000004</v>
      </c>
      <c r="C209">
        <v>123.667</v>
      </c>
      <c r="D209">
        <v>637.70000000000005</v>
      </c>
      <c r="E209">
        <v>5.6</v>
      </c>
    </row>
    <row r="210" spans="1:5" x14ac:dyDescent="0.25">
      <c r="A210" t="s">
        <v>2791</v>
      </c>
      <c r="B210">
        <v>-6.9059999999999997</v>
      </c>
      <c r="C210">
        <v>123.47799999999999</v>
      </c>
      <c r="D210">
        <v>610.1</v>
      </c>
      <c r="E210">
        <v>4.9000000000000004</v>
      </c>
    </row>
    <row r="211" spans="1:5" x14ac:dyDescent="0.25">
      <c r="A211" t="s">
        <v>2791</v>
      </c>
      <c r="B211">
        <v>-7.26</v>
      </c>
      <c r="C211">
        <v>120.30800000000001</v>
      </c>
      <c r="D211">
        <v>600</v>
      </c>
      <c r="E211">
        <v>4.7</v>
      </c>
    </row>
    <row r="212" spans="1:5" x14ac:dyDescent="0.25">
      <c r="A212" t="s">
        <v>2792</v>
      </c>
      <c r="B212">
        <v>-7.0709999999999997</v>
      </c>
      <c r="C212">
        <v>123.28400000000001</v>
      </c>
      <c r="D212">
        <v>610.1</v>
      </c>
      <c r="E212">
        <v>4.7</v>
      </c>
    </row>
    <row r="213" spans="1:5" x14ac:dyDescent="0.25">
      <c r="A213" t="s">
        <v>2792</v>
      </c>
      <c r="B213">
        <v>-6.9219999999999997</v>
      </c>
      <c r="C213">
        <v>125.256</v>
      </c>
      <c r="D213">
        <v>523.70000000000005</v>
      </c>
      <c r="E213">
        <v>5.2</v>
      </c>
    </row>
    <row r="214" spans="1:5" x14ac:dyDescent="0.25">
      <c r="A214" t="s">
        <v>2792</v>
      </c>
      <c r="B214">
        <v>-7.0250000000000004</v>
      </c>
      <c r="C214">
        <v>124.795</v>
      </c>
      <c r="D214">
        <v>516</v>
      </c>
      <c r="E214">
        <v>4.8</v>
      </c>
    </row>
    <row r="215" spans="1:5" x14ac:dyDescent="0.25">
      <c r="A215" t="s">
        <v>2792</v>
      </c>
      <c r="B215">
        <v>-6.9450000000000003</v>
      </c>
      <c r="C215">
        <v>125.194</v>
      </c>
      <c r="D215">
        <v>532.1</v>
      </c>
      <c r="E215">
        <v>5.8</v>
      </c>
    </row>
    <row r="216" spans="1:5" x14ac:dyDescent="0.25">
      <c r="A216" t="s">
        <v>2792</v>
      </c>
      <c r="B216">
        <v>-7.1369999999999996</v>
      </c>
      <c r="C216">
        <v>122.589</v>
      </c>
      <c r="D216">
        <v>587.29999999999995</v>
      </c>
      <c r="E216">
        <v>7.9</v>
      </c>
    </row>
    <row r="217" spans="1:5" x14ac:dyDescent="0.25">
      <c r="A217" t="s">
        <v>2792</v>
      </c>
      <c r="B217">
        <v>-7.4450000000000003</v>
      </c>
      <c r="C217">
        <v>122.691</v>
      </c>
      <c r="D217">
        <v>600</v>
      </c>
      <c r="E217">
        <v>5.2</v>
      </c>
    </row>
    <row r="218" spans="1:5" x14ac:dyDescent="0.25">
      <c r="A218" t="s">
        <v>2792</v>
      </c>
      <c r="B218">
        <v>-7.2389999999999999</v>
      </c>
      <c r="C218">
        <v>122.209</v>
      </c>
      <c r="D218">
        <v>600</v>
      </c>
      <c r="E218">
        <v>4.7</v>
      </c>
    </row>
    <row r="219" spans="1:5" x14ac:dyDescent="0.25">
      <c r="A219" t="s">
        <v>2792</v>
      </c>
      <c r="B219">
        <v>-7.1749999999999998</v>
      </c>
      <c r="C219">
        <v>122.92</v>
      </c>
      <c r="D219">
        <v>600</v>
      </c>
      <c r="E219">
        <v>4.5</v>
      </c>
    </row>
    <row r="220" spans="1:5" x14ac:dyDescent="0.25">
      <c r="A220" t="s">
        <v>2792</v>
      </c>
      <c r="B220">
        <v>-7.3559999999999999</v>
      </c>
      <c r="C220">
        <v>122.297</v>
      </c>
      <c r="D220">
        <v>600</v>
      </c>
      <c r="E220">
        <v>4.5</v>
      </c>
    </row>
    <row r="221" spans="1:5" x14ac:dyDescent="0.25">
      <c r="A221" t="s">
        <v>2792</v>
      </c>
      <c r="B221">
        <v>-7.2480000000000002</v>
      </c>
      <c r="C221">
        <v>122.892</v>
      </c>
      <c r="D221">
        <v>600</v>
      </c>
      <c r="E221">
        <v>5.0999999999999996</v>
      </c>
    </row>
    <row r="222" spans="1:5" x14ac:dyDescent="0.25">
      <c r="A222" t="s">
        <v>2792</v>
      </c>
      <c r="B222">
        <v>-7.4240000000000004</v>
      </c>
      <c r="C222">
        <v>122.40300000000001</v>
      </c>
      <c r="D222">
        <v>600</v>
      </c>
      <c r="E222">
        <v>4.5999999999999996</v>
      </c>
    </row>
    <row r="223" spans="1:5" x14ac:dyDescent="0.25">
      <c r="A223" t="s">
        <v>2792</v>
      </c>
      <c r="B223">
        <v>-7.1289999999999996</v>
      </c>
      <c r="C223">
        <v>122.34399999999999</v>
      </c>
      <c r="D223">
        <v>570.5</v>
      </c>
      <c r="E223">
        <v>5.3</v>
      </c>
    </row>
    <row r="224" spans="1:5" x14ac:dyDescent="0.25">
      <c r="A224" t="s">
        <v>2792</v>
      </c>
      <c r="B224">
        <v>-7.1479999999999997</v>
      </c>
      <c r="C224">
        <v>122.395</v>
      </c>
      <c r="D224">
        <v>600</v>
      </c>
      <c r="E224">
        <v>5.4</v>
      </c>
    </row>
    <row r="225" spans="1:5" x14ac:dyDescent="0.25">
      <c r="A225" t="s">
        <v>2792</v>
      </c>
      <c r="B225">
        <v>-6.5419999999999998</v>
      </c>
      <c r="C225">
        <v>123.163</v>
      </c>
      <c r="D225">
        <v>550</v>
      </c>
      <c r="E225">
        <v>5</v>
      </c>
    </row>
    <row r="226" spans="1:5" x14ac:dyDescent="0.25">
      <c r="A226" t="s">
        <v>2792</v>
      </c>
      <c r="B226">
        <v>-7.1239999999999997</v>
      </c>
      <c r="C226">
        <v>123.27500000000001</v>
      </c>
      <c r="D226">
        <v>595.70000000000005</v>
      </c>
      <c r="E226">
        <v>6</v>
      </c>
    </row>
    <row r="227" spans="1:5" x14ac:dyDescent="0.25">
      <c r="A227" t="s">
        <v>2792</v>
      </c>
      <c r="B227">
        <v>-7.2110000000000003</v>
      </c>
      <c r="C227">
        <v>124.142</v>
      </c>
      <c r="D227">
        <v>565.4</v>
      </c>
      <c r="E227">
        <v>4.7</v>
      </c>
    </row>
    <row r="228" spans="1:5" x14ac:dyDescent="0.25">
      <c r="A228" t="s">
        <v>2792</v>
      </c>
      <c r="B228">
        <v>-7.2320000000000002</v>
      </c>
      <c r="C228">
        <v>122.979</v>
      </c>
      <c r="D228">
        <v>600</v>
      </c>
      <c r="E228">
        <v>4.8</v>
      </c>
    </row>
    <row r="229" spans="1:5" x14ac:dyDescent="0.25">
      <c r="A229" t="s">
        <v>2793</v>
      </c>
      <c r="B229">
        <v>-7.0309999999999997</v>
      </c>
      <c r="C229">
        <v>124.117</v>
      </c>
      <c r="D229">
        <v>500</v>
      </c>
      <c r="E229">
        <v>4.8</v>
      </c>
    </row>
    <row r="230" spans="1:5" x14ac:dyDescent="0.25">
      <c r="A230" t="s">
        <v>2793</v>
      </c>
      <c r="B230">
        <v>-7.1159999999999997</v>
      </c>
      <c r="C230">
        <v>122.61199999999999</v>
      </c>
      <c r="D230">
        <v>578.5</v>
      </c>
      <c r="E230">
        <v>5.3</v>
      </c>
    </row>
    <row r="231" spans="1:5" x14ac:dyDescent="0.25">
      <c r="A231" t="s">
        <v>2793</v>
      </c>
      <c r="B231">
        <v>-7.032</v>
      </c>
      <c r="C231">
        <v>125.274</v>
      </c>
      <c r="D231">
        <v>550</v>
      </c>
      <c r="E231">
        <v>4.9000000000000004</v>
      </c>
    </row>
    <row r="232" spans="1:5" x14ac:dyDescent="0.25">
      <c r="A232" t="s">
        <v>2793</v>
      </c>
      <c r="B232">
        <v>-7.492</v>
      </c>
      <c r="C232">
        <v>120.902</v>
      </c>
      <c r="D232">
        <v>600</v>
      </c>
      <c r="E232">
        <v>4.8</v>
      </c>
    </row>
    <row r="233" spans="1:5" x14ac:dyDescent="0.25">
      <c r="A233" t="s">
        <v>2793</v>
      </c>
      <c r="B233">
        <v>-7.2930000000000001</v>
      </c>
      <c r="C233">
        <v>120.968</v>
      </c>
      <c r="D233">
        <v>500</v>
      </c>
      <c r="E233">
        <v>4.8</v>
      </c>
    </row>
    <row r="234" spans="1:5" x14ac:dyDescent="0.25">
      <c r="A234" t="s">
        <v>2793</v>
      </c>
      <c r="B234">
        <v>-5.6719999999999997</v>
      </c>
      <c r="C234">
        <v>123.94199999999999</v>
      </c>
      <c r="D234">
        <v>33</v>
      </c>
      <c r="E234">
        <v>4.5999999999999996</v>
      </c>
    </row>
    <row r="235" spans="1:5" x14ac:dyDescent="0.25">
      <c r="A235" t="s">
        <v>2793</v>
      </c>
      <c r="B235">
        <v>-7.2009999999999996</v>
      </c>
      <c r="C235">
        <v>120.146</v>
      </c>
      <c r="D235">
        <v>350</v>
      </c>
      <c r="E235">
        <v>4.5</v>
      </c>
    </row>
    <row r="236" spans="1:5" x14ac:dyDescent="0.25">
      <c r="A236" t="s">
        <v>2793</v>
      </c>
      <c r="B236">
        <v>-7.375</v>
      </c>
      <c r="C236">
        <v>120.389</v>
      </c>
      <c r="D236">
        <v>100</v>
      </c>
      <c r="E236">
        <v>4.5</v>
      </c>
    </row>
    <row r="237" spans="1:5" x14ac:dyDescent="0.25">
      <c r="A237" t="s">
        <v>2793</v>
      </c>
      <c r="B237">
        <v>-7.3609999999999998</v>
      </c>
      <c r="C237">
        <v>120.27200000000001</v>
      </c>
      <c r="D237">
        <v>440.2</v>
      </c>
      <c r="E237">
        <v>4.5</v>
      </c>
    </row>
    <row r="238" spans="1:5" x14ac:dyDescent="0.25">
      <c r="A238" t="s">
        <v>2793</v>
      </c>
      <c r="B238">
        <v>-7.3090000000000002</v>
      </c>
      <c r="C238">
        <v>120.369</v>
      </c>
      <c r="D238">
        <v>586.5</v>
      </c>
      <c r="E238">
        <v>5.2</v>
      </c>
    </row>
    <row r="239" spans="1:5" x14ac:dyDescent="0.25">
      <c r="A239" t="s">
        <v>2793</v>
      </c>
      <c r="B239">
        <v>-7.1970000000000001</v>
      </c>
      <c r="C239">
        <v>120.342</v>
      </c>
      <c r="D239">
        <v>600</v>
      </c>
      <c r="E239">
        <v>4.9000000000000004</v>
      </c>
    </row>
    <row r="240" spans="1:5" x14ac:dyDescent="0.25">
      <c r="A240" t="s">
        <v>2793</v>
      </c>
      <c r="B240">
        <v>-5.8680000000000003</v>
      </c>
      <c r="C240">
        <v>125.093</v>
      </c>
      <c r="D240">
        <v>33</v>
      </c>
      <c r="E240">
        <v>4.7</v>
      </c>
    </row>
    <row r="241" spans="1:5" x14ac:dyDescent="0.25">
      <c r="A241" t="s">
        <v>2794</v>
      </c>
      <c r="B241">
        <v>-7.4560000000000004</v>
      </c>
      <c r="C241">
        <v>119.94499999999999</v>
      </c>
      <c r="D241">
        <v>450</v>
      </c>
      <c r="E241">
        <v>4.5999999999999996</v>
      </c>
    </row>
    <row r="242" spans="1:5" x14ac:dyDescent="0.25">
      <c r="A242" t="s">
        <v>2794</v>
      </c>
      <c r="B242">
        <v>-7.2229999999999999</v>
      </c>
      <c r="C242">
        <v>120.29600000000001</v>
      </c>
      <c r="D242">
        <v>585</v>
      </c>
      <c r="E242">
        <v>5.0999999999999996</v>
      </c>
    </row>
    <row r="243" spans="1:5" x14ac:dyDescent="0.25">
      <c r="A243" t="s">
        <v>2794</v>
      </c>
      <c r="B243">
        <v>-6.5540000000000003</v>
      </c>
      <c r="C243">
        <v>124.995</v>
      </c>
      <c r="D243">
        <v>589.70000000000005</v>
      </c>
      <c r="E243">
        <v>4.9000000000000004</v>
      </c>
    </row>
    <row r="244" spans="1:5" x14ac:dyDescent="0.25">
      <c r="A244" t="s">
        <v>2794</v>
      </c>
      <c r="B244">
        <v>-5.6379999999999999</v>
      </c>
      <c r="C244">
        <v>122.545</v>
      </c>
      <c r="D244">
        <v>33</v>
      </c>
      <c r="E244">
        <v>4.5999999999999996</v>
      </c>
    </row>
    <row r="245" spans="1:5" x14ac:dyDescent="0.25">
      <c r="A245" t="s">
        <v>2794</v>
      </c>
      <c r="B245">
        <v>-7.1360000000000001</v>
      </c>
      <c r="C245">
        <v>124.77</v>
      </c>
      <c r="D245">
        <v>565.29999999999995</v>
      </c>
      <c r="E245">
        <v>4.5</v>
      </c>
    </row>
    <row r="246" spans="1:5" x14ac:dyDescent="0.25">
      <c r="A246" t="s">
        <v>2794</v>
      </c>
      <c r="B246">
        <v>-7.202</v>
      </c>
      <c r="C246">
        <v>120.401</v>
      </c>
      <c r="D246">
        <v>600</v>
      </c>
      <c r="E246">
        <v>5.0999999999999996</v>
      </c>
    </row>
    <row r="247" spans="1:5" x14ac:dyDescent="0.25">
      <c r="A247" t="s">
        <v>2794</v>
      </c>
      <c r="B247">
        <v>-6.4059999999999997</v>
      </c>
      <c r="C247">
        <v>123.569</v>
      </c>
      <c r="D247">
        <v>33</v>
      </c>
      <c r="E247">
        <v>5.0999999999999996</v>
      </c>
    </row>
    <row r="248" spans="1:5" x14ac:dyDescent="0.25">
      <c r="A248" t="s">
        <v>2794</v>
      </c>
      <c r="B248">
        <v>-5.2089999999999996</v>
      </c>
      <c r="C248">
        <v>123.154</v>
      </c>
      <c r="D248">
        <v>33</v>
      </c>
      <c r="E248">
        <v>4.5</v>
      </c>
    </row>
    <row r="249" spans="1:5" x14ac:dyDescent="0.25">
      <c r="A249" t="s">
        <v>2794</v>
      </c>
      <c r="B249">
        <v>-7.101</v>
      </c>
      <c r="C249">
        <v>120.172</v>
      </c>
      <c r="D249">
        <v>593.79999999999995</v>
      </c>
      <c r="E249">
        <v>4.7</v>
      </c>
    </row>
    <row r="250" spans="1:5" x14ac:dyDescent="0.25">
      <c r="A250" t="s">
        <v>2794</v>
      </c>
      <c r="B250">
        <v>-7.2169999999999996</v>
      </c>
      <c r="C250">
        <v>120.733</v>
      </c>
      <c r="D250">
        <v>508.6</v>
      </c>
      <c r="E250">
        <v>4.5</v>
      </c>
    </row>
    <row r="251" spans="1:5" x14ac:dyDescent="0.25">
      <c r="A251" t="s">
        <v>2795</v>
      </c>
      <c r="B251">
        <v>-7.19</v>
      </c>
      <c r="C251">
        <v>120.429</v>
      </c>
      <c r="D251">
        <v>593.70000000000005</v>
      </c>
      <c r="E251">
        <v>4.5999999999999996</v>
      </c>
    </row>
    <row r="252" spans="1:5" x14ac:dyDescent="0.25">
      <c r="A252" t="s">
        <v>2795</v>
      </c>
      <c r="B252">
        <v>-6.8029999999999999</v>
      </c>
      <c r="C252">
        <v>125.152</v>
      </c>
      <c r="D252">
        <v>542.70000000000005</v>
      </c>
      <c r="E252">
        <v>4.7</v>
      </c>
    </row>
    <row r="253" spans="1:5" x14ac:dyDescent="0.25">
      <c r="A253" t="s">
        <v>2795</v>
      </c>
      <c r="B253">
        <v>-7.4770000000000003</v>
      </c>
      <c r="C253">
        <v>123.402</v>
      </c>
      <c r="D253">
        <v>379.5</v>
      </c>
      <c r="E253">
        <v>5.4</v>
      </c>
    </row>
    <row r="254" spans="1:5" x14ac:dyDescent="0.25">
      <c r="A254" t="s">
        <v>2795</v>
      </c>
      <c r="B254">
        <v>-4.5519999999999996</v>
      </c>
      <c r="C254">
        <v>123.13</v>
      </c>
      <c r="D254">
        <v>33</v>
      </c>
      <c r="E254">
        <v>4.5999999999999996</v>
      </c>
    </row>
    <row r="255" spans="1:5" x14ac:dyDescent="0.25">
      <c r="A255" t="s">
        <v>2795</v>
      </c>
      <c r="B255">
        <v>-6.976</v>
      </c>
      <c r="C255">
        <v>124.65300000000001</v>
      </c>
      <c r="D255">
        <v>469.3</v>
      </c>
      <c r="E255">
        <v>4.5999999999999996</v>
      </c>
    </row>
    <row r="256" spans="1:5" x14ac:dyDescent="0.25">
      <c r="A256" t="s">
        <v>2795</v>
      </c>
      <c r="B256">
        <v>-7.3209999999999997</v>
      </c>
      <c r="C256">
        <v>120.44</v>
      </c>
      <c r="D256">
        <v>515</v>
      </c>
      <c r="E256">
        <v>4.7</v>
      </c>
    </row>
    <row r="257" spans="1:5" x14ac:dyDescent="0.25">
      <c r="A257" t="s">
        <v>2795</v>
      </c>
      <c r="B257">
        <v>-7.1379999999999999</v>
      </c>
      <c r="C257">
        <v>124.98699999999999</v>
      </c>
      <c r="D257">
        <v>516.29999999999995</v>
      </c>
      <c r="E257">
        <v>4.8</v>
      </c>
    </row>
    <row r="258" spans="1:5" x14ac:dyDescent="0.25">
      <c r="A258" t="s">
        <v>2795</v>
      </c>
      <c r="B258">
        <v>-7.3410000000000002</v>
      </c>
      <c r="C258">
        <v>123.919</v>
      </c>
      <c r="D258">
        <v>558.5</v>
      </c>
      <c r="E258">
        <v>4.7</v>
      </c>
    </row>
    <row r="259" spans="1:5" x14ac:dyDescent="0.25">
      <c r="A259" t="s">
        <v>2796</v>
      </c>
      <c r="B259">
        <v>-7.4850000000000003</v>
      </c>
      <c r="C259">
        <v>122.678</v>
      </c>
      <c r="D259">
        <v>574.9</v>
      </c>
      <c r="E259">
        <v>5.5</v>
      </c>
    </row>
    <row r="260" spans="1:5" x14ac:dyDescent="0.25">
      <c r="A260" t="s">
        <v>2796</v>
      </c>
      <c r="B260">
        <v>-7.33</v>
      </c>
      <c r="C260">
        <v>123.68899999999999</v>
      </c>
      <c r="D260">
        <v>600</v>
      </c>
      <c r="E260">
        <v>4.7</v>
      </c>
    </row>
    <row r="261" spans="1:5" x14ac:dyDescent="0.25">
      <c r="A261" t="s">
        <v>2796</v>
      </c>
      <c r="B261">
        <v>-7.0179999999999998</v>
      </c>
      <c r="C261">
        <v>123.357</v>
      </c>
      <c r="D261">
        <v>648.5</v>
      </c>
      <c r="E261">
        <v>6.5</v>
      </c>
    </row>
    <row r="262" spans="1:5" x14ac:dyDescent="0.25">
      <c r="A262" t="s">
        <v>2796</v>
      </c>
      <c r="B262">
        <v>-7.1420000000000003</v>
      </c>
      <c r="C262">
        <v>123.434</v>
      </c>
      <c r="D262">
        <v>675.5</v>
      </c>
      <c r="E262">
        <v>4.5999999999999996</v>
      </c>
    </row>
    <row r="263" spans="1:5" x14ac:dyDescent="0.25">
      <c r="A263" t="s">
        <v>2796</v>
      </c>
      <c r="B263">
        <v>-7.1130000000000004</v>
      </c>
      <c r="C263">
        <v>124.639</v>
      </c>
      <c r="D263">
        <v>580.1</v>
      </c>
      <c r="E263">
        <v>4.5</v>
      </c>
    </row>
    <row r="264" spans="1:5" x14ac:dyDescent="0.25">
      <c r="A264" t="s">
        <v>2796</v>
      </c>
      <c r="B264">
        <v>-5.7869999999999999</v>
      </c>
      <c r="C264">
        <v>123.309</v>
      </c>
      <c r="D264">
        <v>33</v>
      </c>
      <c r="E264">
        <v>5.2</v>
      </c>
    </row>
    <row r="265" spans="1:5" x14ac:dyDescent="0.25">
      <c r="A265" t="s">
        <v>2796</v>
      </c>
      <c r="B265">
        <v>-6.0309999999999997</v>
      </c>
      <c r="C265">
        <v>122.836</v>
      </c>
      <c r="D265">
        <v>10</v>
      </c>
      <c r="E265">
        <v>4.8</v>
      </c>
    </row>
    <row r="266" spans="1:5" x14ac:dyDescent="0.25">
      <c r="A266" t="s">
        <v>2796</v>
      </c>
      <c r="B266">
        <v>-7.3220000000000001</v>
      </c>
      <c r="C266">
        <v>120.65900000000001</v>
      </c>
      <c r="D266">
        <v>602.1</v>
      </c>
      <c r="E266">
        <v>4.5999999999999996</v>
      </c>
    </row>
    <row r="267" spans="1:5" x14ac:dyDescent="0.25">
      <c r="A267" t="s">
        <v>2796</v>
      </c>
      <c r="B267">
        <v>-7.1130000000000004</v>
      </c>
      <c r="C267">
        <v>124.82599999999999</v>
      </c>
      <c r="D267">
        <v>558.79999999999995</v>
      </c>
      <c r="E267">
        <v>4.8</v>
      </c>
    </row>
    <row r="268" spans="1:5" x14ac:dyDescent="0.25">
      <c r="A268" t="s">
        <v>2796</v>
      </c>
      <c r="B268">
        <v>-7.27</v>
      </c>
      <c r="C268">
        <v>121.17100000000001</v>
      </c>
      <c r="D268">
        <v>541.5</v>
      </c>
      <c r="E268">
        <v>4.5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3C4FC7-5E42-4D43-AE9C-CEFB63D07DA6}">
  <dimension ref="A1:E30"/>
  <sheetViews>
    <sheetView workbookViewId="0">
      <selection activeCell="H16" sqref="H16"/>
    </sheetView>
  </sheetViews>
  <sheetFormatPr defaultRowHeight="13.8" x14ac:dyDescent="0.25"/>
  <cols>
    <col min="1" max="1" width="13.09765625" bestFit="1" customWidth="1"/>
    <col min="2" max="2" width="17.5" bestFit="1" customWidth="1"/>
    <col min="4" max="4" width="13.09765625" bestFit="1" customWidth="1"/>
    <col min="5" max="5" width="17.5" bestFit="1" customWidth="1"/>
  </cols>
  <sheetData>
    <row r="1" spans="1:5" x14ac:dyDescent="0.25">
      <c r="A1" s="2" t="s">
        <v>2765</v>
      </c>
      <c r="B1" t="s">
        <v>2767</v>
      </c>
      <c r="D1" s="2" t="s">
        <v>2765</v>
      </c>
      <c r="E1" t="s">
        <v>2767</v>
      </c>
    </row>
    <row r="2" spans="1:5" x14ac:dyDescent="0.25">
      <c r="A2" s="3" t="s">
        <v>2769</v>
      </c>
      <c r="B2">
        <v>3</v>
      </c>
      <c r="D2" s="3" t="s">
        <v>2797</v>
      </c>
      <c r="E2">
        <v>20</v>
      </c>
    </row>
    <row r="3" spans="1:5" x14ac:dyDescent="0.25">
      <c r="A3" s="3" t="s">
        <v>2770</v>
      </c>
      <c r="B3">
        <v>4</v>
      </c>
      <c r="D3" s="3" t="s">
        <v>2798</v>
      </c>
      <c r="E3">
        <v>16</v>
      </c>
    </row>
    <row r="4" spans="1:5" x14ac:dyDescent="0.25">
      <c r="A4" s="3" t="s">
        <v>2771</v>
      </c>
      <c r="B4">
        <v>9</v>
      </c>
      <c r="D4" s="3" t="s">
        <v>2799</v>
      </c>
      <c r="E4">
        <v>18</v>
      </c>
    </row>
    <row r="5" spans="1:5" x14ac:dyDescent="0.25">
      <c r="A5" s="3" t="s">
        <v>2772</v>
      </c>
      <c r="B5">
        <v>4</v>
      </c>
      <c r="D5" s="3" t="s">
        <v>2800</v>
      </c>
      <c r="E5">
        <v>16</v>
      </c>
    </row>
    <row r="6" spans="1:5" x14ac:dyDescent="0.25">
      <c r="A6" s="3" t="s">
        <v>2773</v>
      </c>
      <c r="B6">
        <v>5</v>
      </c>
      <c r="D6" s="3" t="s">
        <v>2801</v>
      </c>
      <c r="E6">
        <v>23</v>
      </c>
    </row>
    <row r="7" spans="1:5" x14ac:dyDescent="0.25">
      <c r="A7" s="3" t="s">
        <v>2774</v>
      </c>
      <c r="B7">
        <v>6</v>
      </c>
      <c r="D7" s="3" t="s">
        <v>2802</v>
      </c>
      <c r="E7">
        <v>35</v>
      </c>
    </row>
    <row r="8" spans="1:5" x14ac:dyDescent="0.25">
      <c r="A8" s="3" t="s">
        <v>2775</v>
      </c>
      <c r="B8">
        <v>8</v>
      </c>
      <c r="D8" s="3" t="s">
        <v>2803</v>
      </c>
      <c r="E8">
        <v>25</v>
      </c>
    </row>
    <row r="9" spans="1:5" x14ac:dyDescent="0.25">
      <c r="A9" s="3" t="s">
        <v>2776</v>
      </c>
      <c r="B9">
        <v>10</v>
      </c>
      <c r="D9" s="3" t="s">
        <v>2804</v>
      </c>
      <c r="E9">
        <v>23</v>
      </c>
    </row>
    <row r="10" spans="1:5" x14ac:dyDescent="0.25">
      <c r="A10" s="3" t="s">
        <v>2777</v>
      </c>
      <c r="B10">
        <v>4</v>
      </c>
      <c r="D10" s="3" t="s">
        <v>2805</v>
      </c>
      <c r="E10">
        <v>22</v>
      </c>
    </row>
    <row r="11" spans="1:5" x14ac:dyDescent="0.25">
      <c r="A11" s="3" t="s">
        <v>2778</v>
      </c>
      <c r="B11">
        <v>8</v>
      </c>
      <c r="D11" s="3" t="s">
        <v>2806</v>
      </c>
      <c r="E11">
        <v>25</v>
      </c>
    </row>
    <row r="12" spans="1:5" x14ac:dyDescent="0.25">
      <c r="A12" s="3" t="s">
        <v>2779</v>
      </c>
      <c r="B12">
        <v>12</v>
      </c>
      <c r="D12" s="3" t="s">
        <v>2807</v>
      </c>
      <c r="E12">
        <v>16</v>
      </c>
    </row>
    <row r="13" spans="1:5" x14ac:dyDescent="0.25">
      <c r="A13" s="3" t="s">
        <v>2780</v>
      </c>
      <c r="B13">
        <v>12</v>
      </c>
      <c r="D13" s="3" t="s">
        <v>2808</v>
      </c>
      <c r="E13">
        <v>28</v>
      </c>
    </row>
    <row r="14" spans="1:5" x14ac:dyDescent="0.25">
      <c r="A14" s="3" t="s">
        <v>2781</v>
      </c>
      <c r="B14">
        <v>9</v>
      </c>
      <c r="D14" s="3" t="s">
        <v>2766</v>
      </c>
      <c r="E14">
        <v>267</v>
      </c>
    </row>
    <row r="15" spans="1:5" x14ac:dyDescent="0.25">
      <c r="A15" s="3" t="s">
        <v>2782</v>
      </c>
      <c r="B15">
        <v>18</v>
      </c>
    </row>
    <row r="16" spans="1:5" x14ac:dyDescent="0.25">
      <c r="A16" s="3" t="s">
        <v>2783</v>
      </c>
      <c r="B16">
        <v>13</v>
      </c>
    </row>
    <row r="17" spans="1:2" x14ac:dyDescent="0.25">
      <c r="A17" s="3" t="s">
        <v>2784</v>
      </c>
      <c r="B17">
        <v>19</v>
      </c>
    </row>
    <row r="18" spans="1:2" x14ac:dyDescent="0.25">
      <c r="A18" s="3" t="s">
        <v>2785</v>
      </c>
      <c r="B18">
        <v>7</v>
      </c>
    </row>
    <row r="19" spans="1:2" x14ac:dyDescent="0.25">
      <c r="A19" s="3" t="s">
        <v>2786</v>
      </c>
      <c r="B19">
        <v>10</v>
      </c>
    </row>
    <row r="20" spans="1:2" x14ac:dyDescent="0.25">
      <c r="A20" s="3" t="s">
        <v>2787</v>
      </c>
      <c r="B20">
        <v>12</v>
      </c>
    </row>
    <row r="21" spans="1:2" x14ac:dyDescent="0.25">
      <c r="A21" s="3" t="s">
        <v>2788</v>
      </c>
      <c r="B21">
        <v>13</v>
      </c>
    </row>
    <row r="22" spans="1:2" x14ac:dyDescent="0.25">
      <c r="A22" s="3" t="s">
        <v>2789</v>
      </c>
      <c r="B22">
        <v>7</v>
      </c>
    </row>
    <row r="23" spans="1:2" x14ac:dyDescent="0.25">
      <c r="A23" s="3" t="s">
        <v>2790</v>
      </c>
      <c r="B23">
        <v>8</v>
      </c>
    </row>
    <row r="24" spans="1:2" x14ac:dyDescent="0.25">
      <c r="A24" s="3" t="s">
        <v>2791</v>
      </c>
      <c r="B24">
        <v>9</v>
      </c>
    </row>
    <row r="25" spans="1:2" x14ac:dyDescent="0.25">
      <c r="A25" s="3" t="s">
        <v>2792</v>
      </c>
      <c r="B25">
        <v>17</v>
      </c>
    </row>
    <row r="26" spans="1:2" x14ac:dyDescent="0.25">
      <c r="A26" s="3" t="s">
        <v>2793</v>
      </c>
      <c r="B26">
        <v>12</v>
      </c>
    </row>
    <row r="27" spans="1:2" x14ac:dyDescent="0.25">
      <c r="A27" s="3" t="s">
        <v>2794</v>
      </c>
      <c r="B27">
        <v>10</v>
      </c>
    </row>
    <row r="28" spans="1:2" x14ac:dyDescent="0.25">
      <c r="A28" s="3" t="s">
        <v>2795</v>
      </c>
      <c r="B28">
        <v>8</v>
      </c>
    </row>
    <row r="29" spans="1:2" x14ac:dyDescent="0.25">
      <c r="A29" s="3" t="s">
        <v>2796</v>
      </c>
      <c r="B29">
        <v>10</v>
      </c>
    </row>
    <row r="30" spans="1:2" x14ac:dyDescent="0.25">
      <c r="A30" s="3" t="s">
        <v>2766</v>
      </c>
      <c r="B30">
        <v>267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8D5680-5EB1-4471-B3FC-98669C1292A3}">
  <dimension ref="A1:F27"/>
  <sheetViews>
    <sheetView workbookViewId="0">
      <selection activeCell="F31" sqref="F31"/>
    </sheetView>
  </sheetViews>
  <sheetFormatPr defaultRowHeight="13.8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317</v>
      </c>
      <c r="B2">
        <v>-7.3040000000000003</v>
      </c>
      <c r="C2">
        <v>120.151</v>
      </c>
      <c r="D2">
        <v>608.5</v>
      </c>
      <c r="E2">
        <v>5.5</v>
      </c>
      <c r="F2" t="s">
        <v>318</v>
      </c>
    </row>
    <row r="3" spans="1:6" x14ac:dyDescent="0.25">
      <c r="A3" t="s">
        <v>323</v>
      </c>
      <c r="B3">
        <v>-5.6609999999999996</v>
      </c>
      <c r="C3">
        <v>124.831</v>
      </c>
      <c r="D3">
        <v>601.29999999999995</v>
      </c>
      <c r="E3">
        <v>5.9</v>
      </c>
      <c r="F3" t="s">
        <v>318</v>
      </c>
    </row>
    <row r="4" spans="1:6" x14ac:dyDescent="0.25">
      <c r="A4" t="s">
        <v>331</v>
      </c>
      <c r="B4">
        <v>-7.2119999999999997</v>
      </c>
      <c r="C4">
        <v>121.072</v>
      </c>
      <c r="D4">
        <v>575</v>
      </c>
      <c r="E4">
        <v>5.5</v>
      </c>
      <c r="F4" t="s">
        <v>318</v>
      </c>
    </row>
    <row r="5" spans="1:6" x14ac:dyDescent="0.25">
      <c r="A5" t="s">
        <v>339</v>
      </c>
      <c r="B5">
        <v>-6.431</v>
      </c>
      <c r="C5">
        <v>123.697</v>
      </c>
      <c r="D5">
        <v>656.6</v>
      </c>
      <c r="E5">
        <v>5.3</v>
      </c>
      <c r="F5" t="s">
        <v>318</v>
      </c>
    </row>
    <row r="6" spans="1:6" x14ac:dyDescent="0.25">
      <c r="A6" t="s">
        <v>373</v>
      </c>
      <c r="B6">
        <v>-7.0250000000000004</v>
      </c>
      <c r="C6">
        <v>125.114</v>
      </c>
      <c r="D6">
        <v>553.5</v>
      </c>
      <c r="E6">
        <v>5.4</v>
      </c>
      <c r="F6" t="s">
        <v>318</v>
      </c>
    </row>
    <row r="7" spans="1:6" x14ac:dyDescent="0.25">
      <c r="A7" t="s">
        <v>377</v>
      </c>
      <c r="B7">
        <v>-7.4329999999999998</v>
      </c>
      <c r="C7">
        <v>124.47499999999999</v>
      </c>
      <c r="D7">
        <v>467.9</v>
      </c>
      <c r="E7">
        <v>5.3</v>
      </c>
      <c r="F7" t="s">
        <v>318</v>
      </c>
    </row>
    <row r="8" spans="1:6" x14ac:dyDescent="0.25">
      <c r="A8" t="s">
        <v>393</v>
      </c>
      <c r="B8">
        <v>-7.077</v>
      </c>
      <c r="C8">
        <v>124.28400000000001</v>
      </c>
      <c r="D8">
        <v>595.5</v>
      </c>
      <c r="E8">
        <v>6</v>
      </c>
      <c r="F8" t="s">
        <v>318</v>
      </c>
    </row>
    <row r="9" spans="1:6" x14ac:dyDescent="0.25">
      <c r="A9" t="s">
        <v>405</v>
      </c>
      <c r="B9">
        <v>-7.4550000000000001</v>
      </c>
      <c r="C9">
        <v>120.646</v>
      </c>
      <c r="D9">
        <v>613.9</v>
      </c>
      <c r="E9">
        <v>5.5</v>
      </c>
      <c r="F9" t="s">
        <v>318</v>
      </c>
    </row>
    <row r="10" spans="1:6" x14ac:dyDescent="0.25">
      <c r="A10" t="s">
        <v>413</v>
      </c>
      <c r="B10">
        <v>-7.0720000000000001</v>
      </c>
      <c r="C10">
        <v>124.152</v>
      </c>
      <c r="D10">
        <v>627.9</v>
      </c>
      <c r="E10">
        <v>6</v>
      </c>
      <c r="F10" t="s">
        <v>318</v>
      </c>
    </row>
    <row r="11" spans="1:6" x14ac:dyDescent="0.25">
      <c r="A11" t="s">
        <v>492</v>
      </c>
      <c r="B11">
        <v>-7.1539999999999999</v>
      </c>
      <c r="C11">
        <v>120.751</v>
      </c>
      <c r="D11">
        <v>485.2</v>
      </c>
      <c r="E11">
        <v>5.2</v>
      </c>
      <c r="F11" t="s">
        <v>318</v>
      </c>
    </row>
    <row r="12" spans="1:6" x14ac:dyDescent="0.25">
      <c r="A12" t="s">
        <v>500</v>
      </c>
      <c r="B12">
        <v>-7.1230000000000002</v>
      </c>
      <c r="C12">
        <v>123.29</v>
      </c>
      <c r="D12">
        <v>603.6</v>
      </c>
      <c r="E12">
        <v>5.5</v>
      </c>
      <c r="F12" t="s">
        <v>318</v>
      </c>
    </row>
    <row r="13" spans="1:6" x14ac:dyDescent="0.25">
      <c r="A13" t="s">
        <v>512</v>
      </c>
      <c r="B13">
        <v>-7.0659999999999998</v>
      </c>
      <c r="C13">
        <v>123.218</v>
      </c>
      <c r="D13">
        <v>649.79999999999995</v>
      </c>
      <c r="E13">
        <v>5.2</v>
      </c>
      <c r="F13" t="s">
        <v>318</v>
      </c>
    </row>
    <row r="14" spans="1:6" x14ac:dyDescent="0.25">
      <c r="A14" t="s">
        <v>539</v>
      </c>
      <c r="B14">
        <v>-7.202</v>
      </c>
      <c r="C14">
        <v>123.871</v>
      </c>
      <c r="D14">
        <v>577.6</v>
      </c>
      <c r="E14">
        <v>5.3</v>
      </c>
      <c r="F14" t="s">
        <v>318</v>
      </c>
    </row>
    <row r="15" spans="1:6" x14ac:dyDescent="0.25">
      <c r="A15" t="s">
        <v>554</v>
      </c>
      <c r="B15">
        <v>-7.3419999999999996</v>
      </c>
      <c r="C15">
        <v>120.19</v>
      </c>
      <c r="D15">
        <v>424.1</v>
      </c>
      <c r="E15">
        <v>5.7</v>
      </c>
      <c r="F15" t="s">
        <v>318</v>
      </c>
    </row>
    <row r="16" spans="1:6" x14ac:dyDescent="0.25">
      <c r="A16" t="s">
        <v>562</v>
      </c>
      <c r="B16">
        <v>-7.3810000000000002</v>
      </c>
      <c r="C16">
        <v>120.295</v>
      </c>
      <c r="D16">
        <v>595.6</v>
      </c>
      <c r="E16">
        <v>5.8</v>
      </c>
      <c r="F16" t="s">
        <v>318</v>
      </c>
    </row>
    <row r="17" spans="1:6" x14ac:dyDescent="0.25">
      <c r="A17" t="s">
        <v>584</v>
      </c>
      <c r="B17">
        <v>-7.101</v>
      </c>
      <c r="C17">
        <v>123.386</v>
      </c>
      <c r="D17">
        <v>625.9</v>
      </c>
      <c r="E17">
        <v>5.4</v>
      </c>
      <c r="F17" t="s">
        <v>318</v>
      </c>
    </row>
    <row r="18" spans="1:6" x14ac:dyDescent="0.25">
      <c r="A18" t="s">
        <v>604</v>
      </c>
      <c r="B18">
        <v>-7.1909999999999998</v>
      </c>
      <c r="C18">
        <v>122.715</v>
      </c>
      <c r="D18">
        <v>620.29999999999995</v>
      </c>
      <c r="E18">
        <v>5.8</v>
      </c>
      <c r="F18" t="s">
        <v>318</v>
      </c>
    </row>
    <row r="19" spans="1:6" x14ac:dyDescent="0.25">
      <c r="A19" t="s">
        <v>616</v>
      </c>
      <c r="B19">
        <v>-6.99</v>
      </c>
      <c r="C19">
        <v>124.807</v>
      </c>
      <c r="D19">
        <v>551.5</v>
      </c>
      <c r="E19">
        <v>5.3</v>
      </c>
      <c r="F19" t="s">
        <v>318</v>
      </c>
    </row>
    <row r="20" spans="1:6" x14ac:dyDescent="0.25">
      <c r="A20" t="s">
        <v>620</v>
      </c>
      <c r="B20">
        <v>-7.1829999999999998</v>
      </c>
      <c r="C20">
        <v>125.242</v>
      </c>
      <c r="D20">
        <v>527.1</v>
      </c>
      <c r="E20">
        <v>5.3</v>
      </c>
      <c r="F20" t="s">
        <v>318</v>
      </c>
    </row>
    <row r="21" spans="1:6" x14ac:dyDescent="0.25">
      <c r="A21" t="s">
        <v>624</v>
      </c>
      <c r="B21">
        <v>-7.3630000000000004</v>
      </c>
      <c r="C21">
        <v>120.363</v>
      </c>
      <c r="D21">
        <v>588.9</v>
      </c>
      <c r="E21">
        <v>7.1</v>
      </c>
      <c r="F21" t="s">
        <v>318</v>
      </c>
    </row>
    <row r="22" spans="1:6" x14ac:dyDescent="0.25">
      <c r="A22" t="s">
        <v>665</v>
      </c>
      <c r="B22">
        <v>-7.2039999999999997</v>
      </c>
      <c r="C22">
        <v>122.533</v>
      </c>
      <c r="D22">
        <v>536.4</v>
      </c>
      <c r="E22">
        <v>6.9</v>
      </c>
      <c r="F22" t="s">
        <v>318</v>
      </c>
    </row>
    <row r="23" spans="1:6" x14ac:dyDescent="0.25">
      <c r="A23" t="s">
        <v>709</v>
      </c>
      <c r="B23">
        <v>-7.4450000000000003</v>
      </c>
      <c r="C23">
        <v>124.732</v>
      </c>
      <c r="D23">
        <v>386.7</v>
      </c>
      <c r="E23">
        <v>5.0999999999999996</v>
      </c>
      <c r="F23" t="s">
        <v>318</v>
      </c>
    </row>
    <row r="24" spans="1:6" x14ac:dyDescent="0.25">
      <c r="A24" t="s">
        <v>713</v>
      </c>
      <c r="B24">
        <v>-7.0990000000000002</v>
      </c>
      <c r="C24">
        <v>124.19499999999999</v>
      </c>
      <c r="D24">
        <v>610.70000000000005</v>
      </c>
      <c r="E24">
        <v>5.2</v>
      </c>
      <c r="F24" t="s">
        <v>318</v>
      </c>
    </row>
    <row r="25" spans="1:6" x14ac:dyDescent="0.25">
      <c r="A25" t="s">
        <v>809</v>
      </c>
      <c r="B25">
        <v>-6.9649999999999999</v>
      </c>
      <c r="C25">
        <v>124.111</v>
      </c>
      <c r="D25">
        <v>595.6</v>
      </c>
      <c r="E25">
        <v>6.2</v>
      </c>
      <c r="F25" t="s">
        <v>318</v>
      </c>
    </row>
    <row r="26" spans="1:6" x14ac:dyDescent="0.25">
      <c r="A26" t="s">
        <v>828</v>
      </c>
      <c r="B26">
        <v>-6.992</v>
      </c>
      <c r="C26">
        <v>123.66500000000001</v>
      </c>
      <c r="D26">
        <v>630.6</v>
      </c>
      <c r="E26">
        <v>5.2</v>
      </c>
      <c r="F26" t="s">
        <v>318</v>
      </c>
    </row>
    <row r="27" spans="1:6" x14ac:dyDescent="0.25">
      <c r="A27" t="s">
        <v>836</v>
      </c>
      <c r="B27">
        <v>-7.0810000000000004</v>
      </c>
      <c r="C27">
        <v>123.667</v>
      </c>
      <c r="D27">
        <v>637.70000000000005</v>
      </c>
      <c r="E27">
        <v>5.6</v>
      </c>
      <c r="F27" t="s">
        <v>318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25F9A4-B313-4760-BF56-E141195434C3}">
  <dimension ref="A1:E268"/>
  <sheetViews>
    <sheetView workbookViewId="0">
      <selection activeCell="J7" sqref="J7"/>
    </sheetView>
  </sheetViews>
  <sheetFormatPr defaultRowHeight="13.8" x14ac:dyDescent="0.25"/>
  <sheetData>
    <row r="1" spans="1:5" x14ac:dyDescent="0.25">
      <c r="A1" t="s">
        <v>1</v>
      </c>
      <c r="B1" t="s">
        <v>2</v>
      </c>
      <c r="C1" t="s">
        <v>3</v>
      </c>
      <c r="D1" t="s">
        <v>2764</v>
      </c>
      <c r="E1" t="s">
        <v>13</v>
      </c>
    </row>
    <row r="2" spans="1:5" x14ac:dyDescent="0.25">
      <c r="A2">
        <v>-7.2910000000000004</v>
      </c>
      <c r="B2">
        <v>120.38500000000001</v>
      </c>
      <c r="C2">
        <v>631</v>
      </c>
      <c r="D2">
        <v>5.8</v>
      </c>
      <c r="E2" t="s">
        <v>27</v>
      </c>
    </row>
    <row r="3" spans="1:5" x14ac:dyDescent="0.25">
      <c r="A3">
        <v>-7.4630000000000001</v>
      </c>
      <c r="B3">
        <v>122.11799999999999</v>
      </c>
      <c r="C3">
        <v>392</v>
      </c>
      <c r="D3">
        <v>5.4</v>
      </c>
      <c r="E3" t="s">
        <v>33</v>
      </c>
    </row>
    <row r="4" spans="1:5" x14ac:dyDescent="0.25">
      <c r="A4">
        <v>-6.0289999999999999</v>
      </c>
      <c r="B4">
        <v>124.68600000000001</v>
      </c>
      <c r="C4">
        <v>605</v>
      </c>
      <c r="D4">
        <v>5.5</v>
      </c>
      <c r="E4" t="s">
        <v>37</v>
      </c>
    </row>
    <row r="5" spans="1:5" x14ac:dyDescent="0.25">
      <c r="A5">
        <v>-7.0359999999999996</v>
      </c>
      <c r="B5">
        <v>124.749</v>
      </c>
      <c r="C5">
        <v>545</v>
      </c>
      <c r="D5">
        <v>5.3</v>
      </c>
      <c r="E5" t="s">
        <v>41</v>
      </c>
    </row>
    <row r="6" spans="1:5" x14ac:dyDescent="0.25">
      <c r="A6">
        <v>-7.3449999999999998</v>
      </c>
      <c r="B6">
        <v>120.251</v>
      </c>
      <c r="C6">
        <v>582</v>
      </c>
      <c r="D6">
        <v>5.0999999999999996</v>
      </c>
      <c r="E6" t="s">
        <v>45</v>
      </c>
    </row>
    <row r="7" spans="1:5" x14ac:dyDescent="0.25">
      <c r="A7">
        <v>-7.24</v>
      </c>
      <c r="B7">
        <v>120.21599999999999</v>
      </c>
      <c r="C7">
        <v>390</v>
      </c>
      <c r="D7">
        <v>5.4</v>
      </c>
      <c r="E7" t="s">
        <v>49</v>
      </c>
    </row>
    <row r="8" spans="1:5" x14ac:dyDescent="0.25">
      <c r="A8">
        <v>-7.3109999999999999</v>
      </c>
      <c r="B8">
        <v>120.548</v>
      </c>
      <c r="C8">
        <v>618</v>
      </c>
      <c r="D8">
        <v>4.8</v>
      </c>
      <c r="E8" t="s">
        <v>53</v>
      </c>
    </row>
    <row r="9" spans="1:5" x14ac:dyDescent="0.25">
      <c r="A9">
        <v>-7.3090000000000002</v>
      </c>
      <c r="B9">
        <v>120.17</v>
      </c>
      <c r="C9">
        <v>627</v>
      </c>
      <c r="D9">
        <v>5.3</v>
      </c>
      <c r="E9" t="s">
        <v>57</v>
      </c>
    </row>
    <row r="10" spans="1:5" x14ac:dyDescent="0.25">
      <c r="A10">
        <v>-6.9569999999999999</v>
      </c>
      <c r="B10">
        <v>124.616</v>
      </c>
      <c r="C10">
        <v>538</v>
      </c>
      <c r="D10">
        <v>5</v>
      </c>
      <c r="E10" t="s">
        <v>61</v>
      </c>
    </row>
    <row r="11" spans="1:5" x14ac:dyDescent="0.25">
      <c r="A11">
        <v>-7.2320000000000002</v>
      </c>
      <c r="B11">
        <v>120.44799999999999</v>
      </c>
      <c r="C11">
        <v>604</v>
      </c>
      <c r="D11">
        <v>4.7</v>
      </c>
      <c r="E11" t="s">
        <v>65</v>
      </c>
    </row>
    <row r="12" spans="1:5" x14ac:dyDescent="0.25">
      <c r="A12">
        <v>-7.2510000000000003</v>
      </c>
      <c r="B12">
        <v>120.499</v>
      </c>
      <c r="C12">
        <v>637</v>
      </c>
      <c r="D12">
        <v>5</v>
      </c>
      <c r="E12" t="s">
        <v>69</v>
      </c>
    </row>
    <row r="13" spans="1:5" x14ac:dyDescent="0.25">
      <c r="A13">
        <v>-7.5549999999999997</v>
      </c>
      <c r="B13">
        <v>120.283</v>
      </c>
      <c r="C13">
        <v>367</v>
      </c>
      <c r="D13">
        <v>5.0999999999999996</v>
      </c>
      <c r="E13" t="s">
        <v>73</v>
      </c>
    </row>
    <row r="14" spans="1:5" x14ac:dyDescent="0.25">
      <c r="A14">
        <v>-7.5209999999999999</v>
      </c>
      <c r="B14">
        <v>124.64700000000001</v>
      </c>
      <c r="C14">
        <v>359</v>
      </c>
      <c r="D14">
        <v>5.2</v>
      </c>
      <c r="E14" t="s">
        <v>77</v>
      </c>
    </row>
    <row r="15" spans="1:5" x14ac:dyDescent="0.25">
      <c r="A15">
        <v>-7.4470000000000001</v>
      </c>
      <c r="B15">
        <v>125.254</v>
      </c>
      <c r="C15">
        <v>50</v>
      </c>
      <c r="D15">
        <v>4.8</v>
      </c>
      <c r="E15" t="s">
        <v>81</v>
      </c>
    </row>
    <row r="16" spans="1:5" x14ac:dyDescent="0.25">
      <c r="A16">
        <v>-6.5330000000000004</v>
      </c>
      <c r="B16">
        <v>124.742</v>
      </c>
      <c r="C16">
        <v>606</v>
      </c>
      <c r="D16">
        <v>5</v>
      </c>
      <c r="E16" t="s">
        <v>85</v>
      </c>
    </row>
    <row r="17" spans="1:5" x14ac:dyDescent="0.25">
      <c r="A17">
        <v>-6.2850000000000001</v>
      </c>
      <c r="B17">
        <v>124.755</v>
      </c>
      <c r="C17">
        <v>576</v>
      </c>
      <c r="D17">
        <v>5.7</v>
      </c>
      <c r="E17" t="s">
        <v>89</v>
      </c>
    </row>
    <row r="18" spans="1:5" x14ac:dyDescent="0.25">
      <c r="A18">
        <v>-7.4779999999999998</v>
      </c>
      <c r="B18">
        <v>119.905</v>
      </c>
      <c r="C18">
        <v>614</v>
      </c>
      <c r="D18">
        <v>6.4</v>
      </c>
      <c r="E18" t="s">
        <v>93</v>
      </c>
    </row>
    <row r="19" spans="1:5" x14ac:dyDescent="0.25">
      <c r="A19">
        <v>-7.0590000000000002</v>
      </c>
      <c r="B19">
        <v>123.74299999999999</v>
      </c>
      <c r="C19">
        <v>611</v>
      </c>
      <c r="D19">
        <v>5.2</v>
      </c>
      <c r="E19" t="s">
        <v>97</v>
      </c>
    </row>
    <row r="20" spans="1:5" x14ac:dyDescent="0.25">
      <c r="A20">
        <v>-5.1890000000000001</v>
      </c>
      <c r="B20">
        <v>125.23099999999999</v>
      </c>
      <c r="C20">
        <v>33</v>
      </c>
      <c r="D20">
        <v>5.0999999999999996</v>
      </c>
      <c r="E20" t="s">
        <v>37</v>
      </c>
    </row>
    <row r="21" spans="1:5" x14ac:dyDescent="0.25">
      <c r="A21">
        <v>-7.0789999999999997</v>
      </c>
      <c r="B21">
        <v>123.815</v>
      </c>
      <c r="C21">
        <v>596</v>
      </c>
      <c r="D21">
        <v>4.7</v>
      </c>
      <c r="E21" t="s">
        <v>104</v>
      </c>
    </row>
    <row r="22" spans="1:5" x14ac:dyDescent="0.25">
      <c r="A22">
        <v>-7.27</v>
      </c>
      <c r="B22">
        <v>120.306</v>
      </c>
      <c r="C22">
        <v>562</v>
      </c>
      <c r="D22">
        <v>4.5</v>
      </c>
      <c r="E22" t="s">
        <v>49</v>
      </c>
    </row>
    <row r="23" spans="1:5" x14ac:dyDescent="0.25">
      <c r="A23">
        <v>-7.0549999999999997</v>
      </c>
      <c r="B23">
        <v>125.205</v>
      </c>
      <c r="C23">
        <v>522</v>
      </c>
      <c r="D23">
        <v>4.8</v>
      </c>
      <c r="E23" t="s">
        <v>111</v>
      </c>
    </row>
    <row r="24" spans="1:5" x14ac:dyDescent="0.25">
      <c r="A24">
        <v>-5.9820000000000002</v>
      </c>
      <c r="B24">
        <v>123.645</v>
      </c>
      <c r="C24">
        <v>43</v>
      </c>
      <c r="D24">
        <v>5</v>
      </c>
      <c r="E24" t="s">
        <v>115</v>
      </c>
    </row>
    <row r="25" spans="1:5" x14ac:dyDescent="0.25">
      <c r="A25">
        <v>-6.0549999999999997</v>
      </c>
      <c r="B25">
        <v>123.69</v>
      </c>
      <c r="C25">
        <v>24</v>
      </c>
      <c r="D25">
        <v>5.0999999999999996</v>
      </c>
      <c r="E25" t="s">
        <v>119</v>
      </c>
    </row>
    <row r="26" spans="1:5" x14ac:dyDescent="0.25">
      <c r="A26">
        <v>-6.069</v>
      </c>
      <c r="B26">
        <v>125.18300000000001</v>
      </c>
      <c r="C26">
        <v>548</v>
      </c>
      <c r="D26">
        <v>4.8</v>
      </c>
      <c r="E26" t="s">
        <v>123</v>
      </c>
    </row>
    <row r="27" spans="1:5" x14ac:dyDescent="0.25">
      <c r="A27">
        <v>-4.9459999999999997</v>
      </c>
      <c r="B27">
        <v>125.247</v>
      </c>
      <c r="C27">
        <v>535</v>
      </c>
      <c r="D27">
        <v>5.9</v>
      </c>
      <c r="E27" t="s">
        <v>37</v>
      </c>
    </row>
    <row r="28" spans="1:5" x14ac:dyDescent="0.25">
      <c r="A28">
        <v>-4.9950000000000001</v>
      </c>
      <c r="B28">
        <v>125.23</v>
      </c>
      <c r="C28">
        <v>531</v>
      </c>
      <c r="D28">
        <v>5.6</v>
      </c>
      <c r="E28" t="s">
        <v>37</v>
      </c>
    </row>
    <row r="29" spans="1:5" x14ac:dyDescent="0.25">
      <c r="A29">
        <v>-7.08</v>
      </c>
      <c r="B29">
        <v>123.256</v>
      </c>
      <c r="C29">
        <v>556</v>
      </c>
      <c r="D29">
        <v>5</v>
      </c>
      <c r="E29" t="s">
        <v>133</v>
      </c>
    </row>
    <row r="30" spans="1:5" x14ac:dyDescent="0.25">
      <c r="A30">
        <v>-7.125</v>
      </c>
      <c r="B30">
        <v>123.815</v>
      </c>
      <c r="C30">
        <v>583</v>
      </c>
      <c r="D30">
        <v>4.9000000000000004</v>
      </c>
      <c r="E30" t="s">
        <v>137</v>
      </c>
    </row>
    <row r="31" spans="1:5" x14ac:dyDescent="0.25">
      <c r="A31">
        <v>-6.8529999999999998</v>
      </c>
      <c r="B31">
        <v>123.456</v>
      </c>
      <c r="C31">
        <v>646</v>
      </c>
      <c r="D31">
        <v>4.9000000000000004</v>
      </c>
      <c r="E31" t="s">
        <v>141</v>
      </c>
    </row>
    <row r="32" spans="1:5" x14ac:dyDescent="0.25">
      <c r="A32">
        <v>-6.0810000000000004</v>
      </c>
      <c r="B32">
        <v>122.914</v>
      </c>
      <c r="C32">
        <v>56</v>
      </c>
      <c r="D32">
        <v>5.4</v>
      </c>
      <c r="E32" t="s">
        <v>145</v>
      </c>
    </row>
    <row r="33" spans="1:5" x14ac:dyDescent="0.25">
      <c r="A33">
        <v>-7.29</v>
      </c>
      <c r="B33">
        <v>123.15</v>
      </c>
      <c r="C33">
        <v>578</v>
      </c>
      <c r="D33">
        <v>5.3</v>
      </c>
      <c r="E33" t="s">
        <v>149</v>
      </c>
    </row>
    <row r="34" spans="1:5" x14ac:dyDescent="0.25">
      <c r="A34">
        <v>-7.1929999999999996</v>
      </c>
      <c r="B34">
        <v>120.051</v>
      </c>
      <c r="C34">
        <v>557</v>
      </c>
      <c r="D34">
        <v>5.4</v>
      </c>
      <c r="E34" t="s">
        <v>153</v>
      </c>
    </row>
    <row r="35" spans="1:5" x14ac:dyDescent="0.25">
      <c r="A35">
        <v>-6.8490000000000002</v>
      </c>
      <c r="B35">
        <v>125.244</v>
      </c>
      <c r="C35">
        <v>529</v>
      </c>
      <c r="D35">
        <v>5</v>
      </c>
      <c r="E35" t="s">
        <v>157</v>
      </c>
    </row>
    <row r="36" spans="1:5" x14ac:dyDescent="0.25">
      <c r="A36">
        <v>-7.0149999999999997</v>
      </c>
      <c r="B36">
        <v>123.381</v>
      </c>
      <c r="C36">
        <v>642</v>
      </c>
      <c r="D36">
        <v>5.2</v>
      </c>
      <c r="E36" t="s">
        <v>161</v>
      </c>
    </row>
    <row r="37" spans="1:5" x14ac:dyDescent="0.25">
      <c r="A37">
        <v>-5.7629999999999999</v>
      </c>
      <c r="B37">
        <v>122.76300000000001</v>
      </c>
      <c r="C37">
        <v>66</v>
      </c>
      <c r="D37">
        <v>4.7</v>
      </c>
      <c r="E37" t="s">
        <v>165</v>
      </c>
    </row>
    <row r="38" spans="1:5" x14ac:dyDescent="0.25">
      <c r="A38">
        <v>-6.1449999999999996</v>
      </c>
      <c r="B38">
        <v>124.89700000000001</v>
      </c>
      <c r="C38">
        <v>615</v>
      </c>
      <c r="D38">
        <v>5.2</v>
      </c>
      <c r="E38" t="s">
        <v>169</v>
      </c>
    </row>
    <row r="39" spans="1:5" x14ac:dyDescent="0.25">
      <c r="A39">
        <v>-6.8810000000000002</v>
      </c>
      <c r="B39">
        <v>124.94</v>
      </c>
      <c r="C39">
        <v>555</v>
      </c>
      <c r="D39">
        <v>4.9000000000000004</v>
      </c>
      <c r="E39" t="s">
        <v>173</v>
      </c>
    </row>
    <row r="40" spans="1:5" x14ac:dyDescent="0.25">
      <c r="A40">
        <v>-7.21</v>
      </c>
      <c r="B40">
        <v>120.309</v>
      </c>
      <c r="C40">
        <v>567</v>
      </c>
      <c r="D40">
        <v>4.8</v>
      </c>
      <c r="E40" t="s">
        <v>177</v>
      </c>
    </row>
    <row r="41" spans="1:5" x14ac:dyDescent="0.25">
      <c r="A41">
        <v>-7.1829999999999998</v>
      </c>
      <c r="B41">
        <v>123.092</v>
      </c>
      <c r="C41">
        <v>616</v>
      </c>
      <c r="D41">
        <v>4.5</v>
      </c>
      <c r="E41" t="s">
        <v>181</v>
      </c>
    </row>
    <row r="42" spans="1:5" x14ac:dyDescent="0.25">
      <c r="A42">
        <v>-7.3719999999999999</v>
      </c>
      <c r="B42">
        <v>120.40900000000001</v>
      </c>
      <c r="C42">
        <v>600</v>
      </c>
      <c r="D42">
        <v>5</v>
      </c>
      <c r="E42" t="s">
        <v>185</v>
      </c>
    </row>
    <row r="43" spans="1:5" x14ac:dyDescent="0.25">
      <c r="A43">
        <v>-6.8650000000000002</v>
      </c>
      <c r="B43">
        <v>124.858</v>
      </c>
      <c r="C43">
        <v>573</v>
      </c>
      <c r="D43">
        <v>4.9000000000000004</v>
      </c>
      <c r="E43" t="s">
        <v>189</v>
      </c>
    </row>
    <row r="44" spans="1:5" x14ac:dyDescent="0.25">
      <c r="A44">
        <v>-7.5</v>
      </c>
      <c r="B44">
        <v>122.14700000000001</v>
      </c>
      <c r="C44">
        <v>170</v>
      </c>
      <c r="D44">
        <v>4.5</v>
      </c>
      <c r="E44" t="s">
        <v>193</v>
      </c>
    </row>
    <row r="45" spans="1:5" x14ac:dyDescent="0.25">
      <c r="A45">
        <v>-7.1040000000000001</v>
      </c>
      <c r="B45">
        <v>124.973</v>
      </c>
      <c r="C45">
        <v>558</v>
      </c>
      <c r="D45">
        <v>5</v>
      </c>
      <c r="E45" t="s">
        <v>197</v>
      </c>
    </row>
    <row r="46" spans="1:5" x14ac:dyDescent="0.25">
      <c r="A46">
        <v>-7.327</v>
      </c>
      <c r="B46">
        <v>122.211</v>
      </c>
      <c r="C46">
        <v>632</v>
      </c>
      <c r="D46">
        <v>4.8</v>
      </c>
      <c r="E46" t="s">
        <v>201</v>
      </c>
    </row>
    <row r="47" spans="1:5" x14ac:dyDescent="0.25">
      <c r="A47">
        <v>-7.2149999999999999</v>
      </c>
      <c r="B47">
        <v>124.788</v>
      </c>
      <c r="C47">
        <v>514</v>
      </c>
      <c r="D47">
        <v>5.0999999999999996</v>
      </c>
      <c r="E47" t="s">
        <v>205</v>
      </c>
    </row>
    <row r="48" spans="1:5" x14ac:dyDescent="0.25">
      <c r="A48">
        <v>-7.2249999999999996</v>
      </c>
      <c r="B48">
        <v>122.10299999999999</v>
      </c>
      <c r="C48">
        <v>517</v>
      </c>
      <c r="D48">
        <v>4.9000000000000004</v>
      </c>
      <c r="E48" t="s">
        <v>209</v>
      </c>
    </row>
    <row r="49" spans="1:5" x14ac:dyDescent="0.25">
      <c r="A49">
        <v>-7.2990000000000004</v>
      </c>
      <c r="B49">
        <v>123.191</v>
      </c>
      <c r="C49">
        <v>592</v>
      </c>
      <c r="D49">
        <v>5.2</v>
      </c>
      <c r="E49" t="s">
        <v>213</v>
      </c>
    </row>
    <row r="50" spans="1:5" x14ac:dyDescent="0.25">
      <c r="A50">
        <v>-7.1989999999999998</v>
      </c>
      <c r="B50">
        <v>124.753</v>
      </c>
      <c r="C50">
        <v>508</v>
      </c>
      <c r="D50">
        <v>4.9000000000000004</v>
      </c>
      <c r="E50" t="s">
        <v>217</v>
      </c>
    </row>
    <row r="51" spans="1:5" x14ac:dyDescent="0.25">
      <c r="A51">
        <v>-7.2030000000000003</v>
      </c>
      <c r="B51">
        <v>120.336</v>
      </c>
      <c r="C51">
        <v>593.70000000000005</v>
      </c>
      <c r="D51">
        <v>4.5999999999999996</v>
      </c>
      <c r="E51" t="s">
        <v>221</v>
      </c>
    </row>
    <row r="52" spans="1:5" x14ac:dyDescent="0.25">
      <c r="A52">
        <v>-6.9470000000000001</v>
      </c>
      <c r="B52">
        <v>123.22499999999999</v>
      </c>
      <c r="C52">
        <v>648.4</v>
      </c>
      <c r="D52">
        <v>5.0999999999999996</v>
      </c>
      <c r="E52" t="s">
        <v>225</v>
      </c>
    </row>
    <row r="53" spans="1:5" x14ac:dyDescent="0.25">
      <c r="A53">
        <v>-7.4790000000000001</v>
      </c>
      <c r="B53">
        <v>120.211</v>
      </c>
      <c r="C53">
        <v>556.79999999999995</v>
      </c>
      <c r="D53">
        <v>4.9000000000000004</v>
      </c>
      <c r="E53" t="s">
        <v>229</v>
      </c>
    </row>
    <row r="54" spans="1:5" x14ac:dyDescent="0.25">
      <c r="A54">
        <v>-7.0469999999999997</v>
      </c>
      <c r="B54">
        <v>125.22</v>
      </c>
      <c r="C54">
        <v>529.4</v>
      </c>
      <c r="D54">
        <v>5.0999999999999996</v>
      </c>
      <c r="E54" t="s">
        <v>111</v>
      </c>
    </row>
    <row r="55" spans="1:5" x14ac:dyDescent="0.25">
      <c r="A55">
        <v>-7.2910000000000004</v>
      </c>
      <c r="B55">
        <v>120.31</v>
      </c>
      <c r="C55">
        <v>572.5</v>
      </c>
      <c r="D55">
        <v>5.5</v>
      </c>
      <c r="E55" t="s">
        <v>236</v>
      </c>
    </row>
    <row r="56" spans="1:5" x14ac:dyDescent="0.25">
      <c r="A56">
        <v>-7.242</v>
      </c>
      <c r="B56">
        <v>123.066</v>
      </c>
      <c r="C56">
        <v>555.29999999999995</v>
      </c>
      <c r="D56">
        <v>4.8</v>
      </c>
      <c r="E56" t="s">
        <v>240</v>
      </c>
    </row>
    <row r="57" spans="1:5" x14ac:dyDescent="0.25">
      <c r="A57">
        <v>-7.3789999999999996</v>
      </c>
      <c r="B57">
        <v>123.749</v>
      </c>
      <c r="C57">
        <v>570.79999999999995</v>
      </c>
      <c r="D57">
        <v>5.3</v>
      </c>
      <c r="E57" t="s">
        <v>244</v>
      </c>
    </row>
    <row r="58" spans="1:5" x14ac:dyDescent="0.25">
      <c r="A58">
        <v>-6.6159999999999997</v>
      </c>
      <c r="B58">
        <v>123.34699999999999</v>
      </c>
      <c r="C58">
        <v>223.2</v>
      </c>
      <c r="D58">
        <v>5</v>
      </c>
      <c r="E58" t="s">
        <v>248</v>
      </c>
    </row>
    <row r="59" spans="1:5" x14ac:dyDescent="0.25">
      <c r="A59">
        <v>-7.0949999999999998</v>
      </c>
      <c r="B59">
        <v>123.785</v>
      </c>
      <c r="C59">
        <v>594.70000000000005</v>
      </c>
      <c r="D59">
        <v>5.0999999999999996</v>
      </c>
      <c r="E59" t="s">
        <v>252</v>
      </c>
    </row>
    <row r="60" spans="1:5" x14ac:dyDescent="0.25">
      <c r="A60">
        <v>-7.4039999999999999</v>
      </c>
      <c r="B60">
        <v>120.30200000000001</v>
      </c>
      <c r="C60">
        <v>569.79999999999995</v>
      </c>
      <c r="D60">
        <v>5.2</v>
      </c>
      <c r="E60" t="s">
        <v>256</v>
      </c>
    </row>
    <row r="61" spans="1:5" x14ac:dyDescent="0.25">
      <c r="A61">
        <v>-6.827</v>
      </c>
      <c r="B61">
        <v>125.134</v>
      </c>
      <c r="C61">
        <v>557</v>
      </c>
      <c r="D61">
        <v>4.7</v>
      </c>
      <c r="E61" t="s">
        <v>260</v>
      </c>
    </row>
    <row r="62" spans="1:5" x14ac:dyDescent="0.25">
      <c r="A62">
        <v>-7.2009999999999996</v>
      </c>
      <c r="B62">
        <v>120.358</v>
      </c>
      <c r="C62">
        <v>33</v>
      </c>
      <c r="D62">
        <v>4.8</v>
      </c>
      <c r="E62" t="s">
        <v>264</v>
      </c>
    </row>
    <row r="63" spans="1:5" x14ac:dyDescent="0.25">
      <c r="A63">
        <v>-7.2910000000000004</v>
      </c>
      <c r="B63">
        <v>124.759</v>
      </c>
      <c r="C63">
        <v>524</v>
      </c>
      <c r="D63">
        <v>4.5999999999999996</v>
      </c>
      <c r="E63" t="s">
        <v>268</v>
      </c>
    </row>
    <row r="64" spans="1:5" x14ac:dyDescent="0.25">
      <c r="A64">
        <v>-7.3220000000000001</v>
      </c>
      <c r="B64">
        <v>119.70699999999999</v>
      </c>
      <c r="C64">
        <v>575.29999999999995</v>
      </c>
      <c r="D64">
        <v>5</v>
      </c>
      <c r="E64" t="s">
        <v>272</v>
      </c>
    </row>
    <row r="65" spans="1:5" x14ac:dyDescent="0.25">
      <c r="A65">
        <v>-7.3680000000000003</v>
      </c>
      <c r="B65">
        <v>119.54300000000001</v>
      </c>
      <c r="C65">
        <v>574</v>
      </c>
      <c r="D65">
        <v>4.5</v>
      </c>
      <c r="E65" t="s">
        <v>276</v>
      </c>
    </row>
    <row r="66" spans="1:5" x14ac:dyDescent="0.25">
      <c r="A66">
        <v>-7.2709999999999999</v>
      </c>
      <c r="B66">
        <v>119.626</v>
      </c>
      <c r="C66">
        <v>575</v>
      </c>
      <c r="D66">
        <v>4.9000000000000004</v>
      </c>
      <c r="E66" t="s">
        <v>280</v>
      </c>
    </row>
    <row r="67" spans="1:5" x14ac:dyDescent="0.25">
      <c r="A67">
        <v>-7.274</v>
      </c>
      <c r="B67">
        <v>123.396</v>
      </c>
      <c r="C67">
        <v>600.4</v>
      </c>
      <c r="D67">
        <v>5.0999999999999996</v>
      </c>
      <c r="E67" t="s">
        <v>284</v>
      </c>
    </row>
    <row r="68" spans="1:5" x14ac:dyDescent="0.25">
      <c r="A68">
        <v>-5.9370000000000003</v>
      </c>
      <c r="B68">
        <v>122.636</v>
      </c>
      <c r="C68">
        <v>46.3</v>
      </c>
      <c r="D68">
        <v>5.5</v>
      </c>
      <c r="E68" t="s">
        <v>288</v>
      </c>
    </row>
    <row r="69" spans="1:5" x14ac:dyDescent="0.25">
      <c r="A69">
        <v>-7.45</v>
      </c>
      <c r="B69">
        <v>119.81399999999999</v>
      </c>
      <c r="C69">
        <v>33</v>
      </c>
      <c r="D69">
        <v>5.0999999999999996</v>
      </c>
      <c r="E69" t="s">
        <v>292</v>
      </c>
    </row>
    <row r="70" spans="1:5" x14ac:dyDescent="0.25">
      <c r="A70">
        <v>-7.5579999999999998</v>
      </c>
      <c r="B70">
        <v>124.996</v>
      </c>
      <c r="C70">
        <v>409.5</v>
      </c>
      <c r="D70">
        <v>4.8</v>
      </c>
      <c r="E70" t="s">
        <v>296</v>
      </c>
    </row>
    <row r="71" spans="1:5" x14ac:dyDescent="0.25">
      <c r="A71">
        <v>-7.3540000000000001</v>
      </c>
      <c r="B71">
        <v>121.18</v>
      </c>
      <c r="C71">
        <v>547.1</v>
      </c>
      <c r="D71">
        <v>5.2</v>
      </c>
      <c r="E71" t="s">
        <v>300</v>
      </c>
    </row>
    <row r="72" spans="1:5" x14ac:dyDescent="0.25">
      <c r="A72">
        <v>-7.056</v>
      </c>
      <c r="B72">
        <v>123.389</v>
      </c>
      <c r="C72">
        <v>642.1</v>
      </c>
      <c r="D72">
        <v>4.5999999999999996</v>
      </c>
      <c r="E72" t="s">
        <v>304</v>
      </c>
    </row>
    <row r="73" spans="1:5" x14ac:dyDescent="0.25">
      <c r="A73">
        <v>-6.38</v>
      </c>
      <c r="B73">
        <v>125.26</v>
      </c>
      <c r="C73">
        <v>571.6</v>
      </c>
      <c r="D73">
        <v>5.3</v>
      </c>
      <c r="E73" t="s">
        <v>308</v>
      </c>
    </row>
    <row r="74" spans="1:5" x14ac:dyDescent="0.25">
      <c r="A74">
        <v>-7.2249999999999996</v>
      </c>
      <c r="B74">
        <v>120.307</v>
      </c>
      <c r="C74">
        <v>567.1</v>
      </c>
      <c r="D74">
        <v>5.4</v>
      </c>
      <c r="E74" t="s">
        <v>312</v>
      </c>
    </row>
    <row r="75" spans="1:5" x14ac:dyDescent="0.25">
      <c r="A75">
        <v>-6.95</v>
      </c>
      <c r="B75">
        <v>125.093</v>
      </c>
      <c r="C75">
        <v>518.9</v>
      </c>
      <c r="D75">
        <v>4.5999999999999996</v>
      </c>
      <c r="E75" t="s">
        <v>316</v>
      </c>
    </row>
    <row r="76" spans="1:5" x14ac:dyDescent="0.25">
      <c r="A76">
        <v>-7.3040000000000003</v>
      </c>
      <c r="B76">
        <v>120.151</v>
      </c>
      <c r="C76">
        <v>608.5</v>
      </c>
      <c r="D76">
        <v>5.5</v>
      </c>
      <c r="E76" t="s">
        <v>321</v>
      </c>
    </row>
    <row r="77" spans="1:5" x14ac:dyDescent="0.25">
      <c r="A77">
        <v>-5.6609999999999996</v>
      </c>
      <c r="B77">
        <v>124.831</v>
      </c>
      <c r="C77">
        <v>601.29999999999995</v>
      </c>
      <c r="D77">
        <v>5.9</v>
      </c>
      <c r="E77" t="s">
        <v>326</v>
      </c>
    </row>
    <row r="78" spans="1:5" x14ac:dyDescent="0.25">
      <c r="A78">
        <v>-7.343</v>
      </c>
      <c r="B78">
        <v>124.304</v>
      </c>
      <c r="C78">
        <v>427.9</v>
      </c>
      <c r="D78">
        <v>4.8</v>
      </c>
      <c r="E78" t="s">
        <v>330</v>
      </c>
    </row>
    <row r="79" spans="1:5" x14ac:dyDescent="0.25">
      <c r="A79">
        <v>-7.2119999999999997</v>
      </c>
      <c r="B79">
        <v>121.072</v>
      </c>
      <c r="C79">
        <v>575</v>
      </c>
      <c r="D79">
        <v>5.5</v>
      </c>
      <c r="E79" t="s">
        <v>334</v>
      </c>
    </row>
    <row r="80" spans="1:5" x14ac:dyDescent="0.25">
      <c r="A80">
        <v>-7.2039999999999997</v>
      </c>
      <c r="B80">
        <v>124.057</v>
      </c>
      <c r="C80">
        <v>554</v>
      </c>
      <c r="D80">
        <v>5</v>
      </c>
      <c r="E80" t="s">
        <v>338</v>
      </c>
    </row>
    <row r="81" spans="1:5" x14ac:dyDescent="0.25">
      <c r="A81">
        <v>-6.431</v>
      </c>
      <c r="B81">
        <v>123.697</v>
      </c>
      <c r="C81">
        <v>656.6</v>
      </c>
      <c r="D81">
        <v>5.3</v>
      </c>
      <c r="E81" t="s">
        <v>342</v>
      </c>
    </row>
    <row r="82" spans="1:5" x14ac:dyDescent="0.25">
      <c r="A82">
        <v>-7.016</v>
      </c>
      <c r="B82">
        <v>125.265</v>
      </c>
      <c r="C82">
        <v>516.6</v>
      </c>
      <c r="D82">
        <v>5</v>
      </c>
      <c r="E82" t="s">
        <v>346</v>
      </c>
    </row>
    <row r="83" spans="1:5" x14ac:dyDescent="0.25">
      <c r="A83">
        <v>-7.125</v>
      </c>
      <c r="B83">
        <v>124.166</v>
      </c>
      <c r="C83">
        <v>617.4</v>
      </c>
      <c r="D83">
        <v>4.5999999999999996</v>
      </c>
      <c r="E83" t="s">
        <v>338</v>
      </c>
    </row>
    <row r="84" spans="1:5" x14ac:dyDescent="0.25">
      <c r="A84">
        <v>-4.8559999999999999</v>
      </c>
      <c r="B84">
        <v>125.18</v>
      </c>
      <c r="C84">
        <v>419.1</v>
      </c>
      <c r="D84">
        <v>4.7</v>
      </c>
      <c r="E84" t="s">
        <v>353</v>
      </c>
    </row>
    <row r="85" spans="1:5" x14ac:dyDescent="0.25">
      <c r="A85">
        <v>-7.4630000000000001</v>
      </c>
      <c r="B85">
        <v>122.598</v>
      </c>
      <c r="C85">
        <v>33</v>
      </c>
      <c r="D85">
        <v>5</v>
      </c>
      <c r="E85" t="s">
        <v>357</v>
      </c>
    </row>
    <row r="86" spans="1:5" x14ac:dyDescent="0.25">
      <c r="A86">
        <v>-6.8970000000000002</v>
      </c>
      <c r="B86">
        <v>125.048</v>
      </c>
      <c r="C86">
        <v>552.9</v>
      </c>
      <c r="D86">
        <v>4.5999999999999996</v>
      </c>
      <c r="E86" t="s">
        <v>361</v>
      </c>
    </row>
    <row r="87" spans="1:5" x14ac:dyDescent="0.25">
      <c r="A87">
        <v>-7.4610000000000003</v>
      </c>
      <c r="B87">
        <v>120.22199999999999</v>
      </c>
      <c r="C87">
        <v>391.9</v>
      </c>
      <c r="D87">
        <v>4.5</v>
      </c>
      <c r="E87" t="s">
        <v>365</v>
      </c>
    </row>
    <row r="88" spans="1:5" x14ac:dyDescent="0.25">
      <c r="A88">
        <v>-7.23</v>
      </c>
      <c r="B88">
        <v>120.327</v>
      </c>
      <c r="C88">
        <v>563.20000000000005</v>
      </c>
      <c r="D88">
        <v>5.0999999999999996</v>
      </c>
      <c r="E88" t="s">
        <v>312</v>
      </c>
    </row>
    <row r="89" spans="1:5" x14ac:dyDescent="0.25">
      <c r="A89">
        <v>-7.28</v>
      </c>
      <c r="B89">
        <v>120.307</v>
      </c>
      <c r="C89">
        <v>573.9</v>
      </c>
      <c r="D89">
        <v>4.9000000000000004</v>
      </c>
      <c r="E89" t="s">
        <v>372</v>
      </c>
    </row>
    <row r="90" spans="1:5" x14ac:dyDescent="0.25">
      <c r="A90">
        <v>-7.0250000000000004</v>
      </c>
      <c r="B90">
        <v>125.114</v>
      </c>
      <c r="C90">
        <v>553.5</v>
      </c>
      <c r="D90">
        <v>5.4</v>
      </c>
      <c r="E90" t="s">
        <v>376</v>
      </c>
    </row>
    <row r="91" spans="1:5" x14ac:dyDescent="0.25">
      <c r="A91">
        <v>-7.4329999999999998</v>
      </c>
      <c r="B91">
        <v>124.47499999999999</v>
      </c>
      <c r="C91">
        <v>467.9</v>
      </c>
      <c r="D91">
        <v>5.3</v>
      </c>
      <c r="E91" t="s">
        <v>380</v>
      </c>
    </row>
    <row r="92" spans="1:5" x14ac:dyDescent="0.25">
      <c r="A92">
        <v>-7.1559999999999997</v>
      </c>
      <c r="B92">
        <v>123.224</v>
      </c>
      <c r="C92">
        <v>600</v>
      </c>
      <c r="D92">
        <v>4.7</v>
      </c>
      <c r="E92" t="s">
        <v>384</v>
      </c>
    </row>
    <row r="93" spans="1:5" x14ac:dyDescent="0.25">
      <c r="A93">
        <v>-7.2569999999999997</v>
      </c>
      <c r="B93">
        <v>124.328</v>
      </c>
      <c r="C93">
        <v>562.9</v>
      </c>
      <c r="D93">
        <v>4.9000000000000004</v>
      </c>
      <c r="E93" t="s">
        <v>388</v>
      </c>
    </row>
    <row r="94" spans="1:5" x14ac:dyDescent="0.25">
      <c r="A94">
        <v>-6.9409999999999998</v>
      </c>
      <c r="B94">
        <v>125.04</v>
      </c>
      <c r="C94">
        <v>519.9</v>
      </c>
      <c r="D94">
        <v>4.9000000000000004</v>
      </c>
      <c r="E94" t="s">
        <v>392</v>
      </c>
    </row>
    <row r="95" spans="1:5" x14ac:dyDescent="0.25">
      <c r="A95">
        <v>-7.077</v>
      </c>
      <c r="B95">
        <v>124.28400000000001</v>
      </c>
      <c r="C95">
        <v>595.5</v>
      </c>
      <c r="D95">
        <v>6</v>
      </c>
      <c r="E95" t="s">
        <v>396</v>
      </c>
    </row>
    <row r="96" spans="1:5" x14ac:dyDescent="0.25">
      <c r="A96">
        <v>-7.33</v>
      </c>
      <c r="B96">
        <v>120.37</v>
      </c>
      <c r="C96">
        <v>399.7</v>
      </c>
      <c r="D96">
        <v>4.5</v>
      </c>
      <c r="E96" t="s">
        <v>400</v>
      </c>
    </row>
    <row r="97" spans="1:5" x14ac:dyDescent="0.25">
      <c r="A97">
        <v>-6.2539999999999996</v>
      </c>
      <c r="B97">
        <v>120.108</v>
      </c>
      <c r="C97">
        <v>47.2</v>
      </c>
      <c r="D97">
        <v>5.3</v>
      </c>
      <c r="E97" t="s">
        <v>404</v>
      </c>
    </row>
    <row r="98" spans="1:5" x14ac:dyDescent="0.25">
      <c r="A98">
        <v>-7.4550000000000001</v>
      </c>
      <c r="B98">
        <v>120.646</v>
      </c>
      <c r="C98">
        <v>613.9</v>
      </c>
      <c r="D98">
        <v>5.5</v>
      </c>
      <c r="E98" t="s">
        <v>408</v>
      </c>
    </row>
    <row r="99" spans="1:5" x14ac:dyDescent="0.25">
      <c r="A99">
        <v>-7.3559999999999999</v>
      </c>
      <c r="B99">
        <v>120.19</v>
      </c>
      <c r="C99">
        <v>412</v>
      </c>
      <c r="D99">
        <v>5.2</v>
      </c>
      <c r="E99" t="s">
        <v>412</v>
      </c>
    </row>
    <row r="100" spans="1:5" x14ac:dyDescent="0.25">
      <c r="A100">
        <v>-7.0720000000000001</v>
      </c>
      <c r="B100">
        <v>124.152</v>
      </c>
      <c r="C100">
        <v>627.9</v>
      </c>
      <c r="D100">
        <v>6</v>
      </c>
      <c r="E100" t="s">
        <v>416</v>
      </c>
    </row>
    <row r="101" spans="1:5" x14ac:dyDescent="0.25">
      <c r="A101">
        <v>-6.1310000000000002</v>
      </c>
      <c r="B101">
        <v>122.745</v>
      </c>
      <c r="C101">
        <v>52.5</v>
      </c>
      <c r="D101">
        <v>5.3</v>
      </c>
      <c r="E101" t="s">
        <v>420</v>
      </c>
    </row>
    <row r="102" spans="1:5" x14ac:dyDescent="0.25">
      <c r="A102">
        <v>-6.3529999999999998</v>
      </c>
      <c r="B102">
        <v>122.825</v>
      </c>
      <c r="C102">
        <v>33</v>
      </c>
      <c r="D102">
        <v>4.5999999999999996</v>
      </c>
      <c r="E102" t="s">
        <v>424</v>
      </c>
    </row>
    <row r="103" spans="1:5" x14ac:dyDescent="0.25">
      <c r="A103">
        <v>-7.2309999999999999</v>
      </c>
      <c r="B103">
        <v>122.78100000000001</v>
      </c>
      <c r="C103">
        <v>611.9</v>
      </c>
      <c r="D103">
        <v>4.5999999999999996</v>
      </c>
      <c r="E103" t="s">
        <v>428</v>
      </c>
    </row>
    <row r="104" spans="1:5" x14ac:dyDescent="0.25">
      <c r="A104">
        <v>-6.1369999999999996</v>
      </c>
      <c r="B104">
        <v>123.04600000000001</v>
      </c>
      <c r="C104">
        <v>33</v>
      </c>
      <c r="D104">
        <v>4.8</v>
      </c>
      <c r="E104" t="s">
        <v>432</v>
      </c>
    </row>
    <row r="105" spans="1:5" x14ac:dyDescent="0.25">
      <c r="A105">
        <v>-6.1449999999999996</v>
      </c>
      <c r="B105">
        <v>122.98399999999999</v>
      </c>
      <c r="C105">
        <v>33</v>
      </c>
      <c r="D105">
        <v>4.5</v>
      </c>
      <c r="E105" t="s">
        <v>436</v>
      </c>
    </row>
    <row r="106" spans="1:5" x14ac:dyDescent="0.25">
      <c r="A106">
        <v>-7.0940000000000003</v>
      </c>
      <c r="B106">
        <v>120.173</v>
      </c>
      <c r="C106">
        <v>423.8</v>
      </c>
      <c r="D106">
        <v>4.9000000000000004</v>
      </c>
      <c r="E106" t="s">
        <v>440</v>
      </c>
    </row>
    <row r="107" spans="1:5" x14ac:dyDescent="0.25">
      <c r="A107">
        <v>-6.9509999999999996</v>
      </c>
      <c r="B107">
        <v>123.79600000000001</v>
      </c>
      <c r="C107">
        <v>641.29999999999995</v>
      </c>
      <c r="D107">
        <v>5.4</v>
      </c>
      <c r="E107" t="s">
        <v>444</v>
      </c>
    </row>
    <row r="108" spans="1:5" x14ac:dyDescent="0.25">
      <c r="A108">
        <v>-7.2519999999999998</v>
      </c>
      <c r="B108">
        <v>122.408</v>
      </c>
      <c r="C108">
        <v>573.70000000000005</v>
      </c>
      <c r="D108">
        <v>4.9000000000000004</v>
      </c>
      <c r="E108" t="s">
        <v>448</v>
      </c>
    </row>
    <row r="109" spans="1:5" x14ac:dyDescent="0.25">
      <c r="A109">
        <v>-6.8540000000000001</v>
      </c>
      <c r="B109">
        <v>123.32899999999999</v>
      </c>
      <c r="C109">
        <v>632.4</v>
      </c>
      <c r="D109">
        <v>5.2</v>
      </c>
      <c r="E109" t="s">
        <v>452</v>
      </c>
    </row>
    <row r="110" spans="1:5" x14ac:dyDescent="0.25">
      <c r="A110">
        <v>-7.1509999999999998</v>
      </c>
      <c r="B110">
        <v>122.751</v>
      </c>
      <c r="C110">
        <v>571.70000000000005</v>
      </c>
      <c r="D110">
        <v>4.5999999999999996</v>
      </c>
      <c r="E110" t="s">
        <v>456</v>
      </c>
    </row>
    <row r="111" spans="1:5" x14ac:dyDescent="0.25">
      <c r="A111">
        <v>-7.032</v>
      </c>
      <c r="B111">
        <v>125.196</v>
      </c>
      <c r="C111">
        <v>527.29999999999995</v>
      </c>
      <c r="D111">
        <v>4.7</v>
      </c>
      <c r="E111" t="s">
        <v>460</v>
      </c>
    </row>
    <row r="112" spans="1:5" x14ac:dyDescent="0.25">
      <c r="A112">
        <v>-5.0380000000000003</v>
      </c>
      <c r="B112">
        <v>125.178</v>
      </c>
      <c r="C112">
        <v>566.70000000000005</v>
      </c>
      <c r="D112">
        <v>5</v>
      </c>
      <c r="E112" t="s">
        <v>353</v>
      </c>
    </row>
    <row r="113" spans="1:5" x14ac:dyDescent="0.25">
      <c r="A113">
        <v>-5.9260000000000002</v>
      </c>
      <c r="B113">
        <v>122.82599999999999</v>
      </c>
      <c r="C113">
        <v>33</v>
      </c>
      <c r="D113">
        <v>4.5</v>
      </c>
      <c r="E113" t="s">
        <v>467</v>
      </c>
    </row>
    <row r="114" spans="1:5" x14ac:dyDescent="0.25">
      <c r="A114">
        <v>-6.8719999999999999</v>
      </c>
      <c r="B114">
        <v>124.774</v>
      </c>
      <c r="C114">
        <v>563.29999999999995</v>
      </c>
      <c r="D114">
        <v>4.9000000000000004</v>
      </c>
      <c r="E114" t="s">
        <v>471</v>
      </c>
    </row>
    <row r="115" spans="1:5" x14ac:dyDescent="0.25">
      <c r="A115">
        <v>-7.3419999999999996</v>
      </c>
      <c r="B115">
        <v>120.01900000000001</v>
      </c>
      <c r="C115">
        <v>625.79999999999995</v>
      </c>
      <c r="D115">
        <v>5.2</v>
      </c>
      <c r="E115" t="s">
        <v>475</v>
      </c>
    </row>
    <row r="116" spans="1:5" x14ac:dyDescent="0.25">
      <c r="A116">
        <v>-7.1630000000000003</v>
      </c>
      <c r="B116">
        <v>124.629</v>
      </c>
      <c r="C116">
        <v>516.6</v>
      </c>
      <c r="D116">
        <v>5</v>
      </c>
      <c r="E116" t="s">
        <v>479</v>
      </c>
    </row>
    <row r="117" spans="1:5" x14ac:dyDescent="0.25">
      <c r="A117">
        <v>-7.2279999999999998</v>
      </c>
      <c r="B117">
        <v>120.256</v>
      </c>
      <c r="C117">
        <v>479</v>
      </c>
      <c r="D117">
        <v>4.5</v>
      </c>
      <c r="E117" t="s">
        <v>483</v>
      </c>
    </row>
    <row r="118" spans="1:5" x14ac:dyDescent="0.25">
      <c r="A118">
        <v>-7.4180000000000001</v>
      </c>
      <c r="B118">
        <v>119.959</v>
      </c>
      <c r="C118">
        <v>401.2</v>
      </c>
      <c r="D118">
        <v>4.5</v>
      </c>
      <c r="E118" t="s">
        <v>487</v>
      </c>
    </row>
    <row r="119" spans="1:5" x14ac:dyDescent="0.25">
      <c r="A119">
        <v>-4.8739999999999997</v>
      </c>
      <c r="B119">
        <v>123.53700000000001</v>
      </c>
      <c r="C119">
        <v>33</v>
      </c>
      <c r="D119">
        <v>5.0999999999999996</v>
      </c>
      <c r="E119" t="s">
        <v>491</v>
      </c>
    </row>
    <row r="120" spans="1:5" x14ac:dyDescent="0.25">
      <c r="A120">
        <v>-7.1539999999999999</v>
      </c>
      <c r="B120">
        <v>120.751</v>
      </c>
      <c r="C120">
        <v>485.2</v>
      </c>
      <c r="D120">
        <v>5.2</v>
      </c>
      <c r="E120" t="s">
        <v>495</v>
      </c>
    </row>
    <row r="121" spans="1:5" x14ac:dyDescent="0.25">
      <c r="A121">
        <v>-6.85</v>
      </c>
      <c r="B121">
        <v>125.161</v>
      </c>
      <c r="C121">
        <v>542.5</v>
      </c>
      <c r="D121">
        <v>4.5</v>
      </c>
      <c r="E121" t="s">
        <v>499</v>
      </c>
    </row>
    <row r="122" spans="1:5" x14ac:dyDescent="0.25">
      <c r="A122">
        <v>-7.1230000000000002</v>
      </c>
      <c r="B122">
        <v>123.29</v>
      </c>
      <c r="C122">
        <v>603.6</v>
      </c>
      <c r="D122">
        <v>5.5</v>
      </c>
      <c r="E122" t="s">
        <v>503</v>
      </c>
    </row>
    <row r="123" spans="1:5" x14ac:dyDescent="0.25">
      <c r="A123">
        <v>-7.3929999999999998</v>
      </c>
      <c r="B123">
        <v>119.98699999999999</v>
      </c>
      <c r="C123">
        <v>629.9</v>
      </c>
      <c r="D123">
        <v>4.8</v>
      </c>
      <c r="E123" t="s">
        <v>507</v>
      </c>
    </row>
    <row r="124" spans="1:5" x14ac:dyDescent="0.25">
      <c r="A124">
        <v>-7.2329999999999997</v>
      </c>
      <c r="B124">
        <v>125.28700000000001</v>
      </c>
      <c r="C124">
        <v>524.6</v>
      </c>
      <c r="D124">
        <v>4.9000000000000004</v>
      </c>
      <c r="E124" t="s">
        <v>511</v>
      </c>
    </row>
    <row r="125" spans="1:5" x14ac:dyDescent="0.25">
      <c r="A125">
        <v>-7.0659999999999998</v>
      </c>
      <c r="B125">
        <v>123.218</v>
      </c>
      <c r="C125">
        <v>649.79999999999995</v>
      </c>
      <c r="D125">
        <v>5.2</v>
      </c>
      <c r="E125" t="s">
        <v>515</v>
      </c>
    </row>
    <row r="126" spans="1:5" x14ac:dyDescent="0.25">
      <c r="A126">
        <v>-7.077</v>
      </c>
      <c r="B126">
        <v>123.283</v>
      </c>
      <c r="C126">
        <v>653.79999999999995</v>
      </c>
      <c r="D126">
        <v>4.5999999999999996</v>
      </c>
      <c r="E126" t="s">
        <v>519</v>
      </c>
    </row>
    <row r="127" spans="1:5" x14ac:dyDescent="0.25">
      <c r="A127">
        <v>-7.2729999999999997</v>
      </c>
      <c r="B127">
        <v>122.28100000000001</v>
      </c>
      <c r="C127">
        <v>613</v>
      </c>
      <c r="D127">
        <v>5.6</v>
      </c>
      <c r="E127" t="s">
        <v>523</v>
      </c>
    </row>
    <row r="128" spans="1:5" x14ac:dyDescent="0.25">
      <c r="A128">
        <v>-7.3390000000000004</v>
      </c>
      <c r="B128">
        <v>122.238</v>
      </c>
      <c r="C128">
        <v>631.9</v>
      </c>
      <c r="D128">
        <v>5.4</v>
      </c>
      <c r="E128" t="s">
        <v>527</v>
      </c>
    </row>
    <row r="129" spans="1:5" x14ac:dyDescent="0.25">
      <c r="A129">
        <v>-6.8959999999999999</v>
      </c>
      <c r="B129">
        <v>125.054</v>
      </c>
      <c r="C129">
        <v>540.79999999999995</v>
      </c>
      <c r="D129">
        <v>5.2</v>
      </c>
      <c r="E129" t="s">
        <v>361</v>
      </c>
    </row>
    <row r="130" spans="1:5" x14ac:dyDescent="0.25">
      <c r="A130">
        <v>-6.9089999999999998</v>
      </c>
      <c r="B130">
        <v>124.971</v>
      </c>
      <c r="C130">
        <v>529.4</v>
      </c>
      <c r="D130">
        <v>5.2</v>
      </c>
      <c r="E130" t="s">
        <v>534</v>
      </c>
    </row>
    <row r="131" spans="1:5" x14ac:dyDescent="0.25">
      <c r="A131">
        <v>-7.351</v>
      </c>
      <c r="B131">
        <v>121.812</v>
      </c>
      <c r="C131">
        <v>293.5</v>
      </c>
      <c r="D131">
        <v>4.5999999999999996</v>
      </c>
      <c r="E131" t="s">
        <v>538</v>
      </c>
    </row>
    <row r="132" spans="1:5" x14ac:dyDescent="0.25">
      <c r="A132">
        <v>-7.202</v>
      </c>
      <c r="B132">
        <v>123.871</v>
      </c>
      <c r="C132">
        <v>577.6</v>
      </c>
      <c r="D132">
        <v>5.3</v>
      </c>
      <c r="E132" t="s">
        <v>542</v>
      </c>
    </row>
    <row r="133" spans="1:5" x14ac:dyDescent="0.25">
      <c r="A133">
        <v>-7.1829999999999998</v>
      </c>
      <c r="B133">
        <v>124.765</v>
      </c>
      <c r="C133">
        <v>554.1</v>
      </c>
      <c r="D133">
        <v>5.2</v>
      </c>
      <c r="E133" t="s">
        <v>546</v>
      </c>
    </row>
    <row r="134" spans="1:5" x14ac:dyDescent="0.25">
      <c r="A134">
        <v>-7.1520000000000001</v>
      </c>
      <c r="B134">
        <v>120.465</v>
      </c>
      <c r="C134">
        <v>566.5</v>
      </c>
      <c r="D134">
        <v>5.0999999999999996</v>
      </c>
      <c r="E134" t="s">
        <v>550</v>
      </c>
    </row>
    <row r="135" spans="1:5" x14ac:dyDescent="0.25">
      <c r="A135">
        <v>-7.2290000000000001</v>
      </c>
      <c r="B135">
        <v>120.26</v>
      </c>
      <c r="C135">
        <v>391.7</v>
      </c>
      <c r="D135">
        <v>4.7</v>
      </c>
      <c r="E135" t="s">
        <v>483</v>
      </c>
    </row>
    <row r="136" spans="1:5" x14ac:dyDescent="0.25">
      <c r="A136">
        <v>-7.3419999999999996</v>
      </c>
      <c r="B136">
        <v>120.19</v>
      </c>
      <c r="C136">
        <v>424.1</v>
      </c>
      <c r="D136">
        <v>5.7</v>
      </c>
      <c r="E136" t="s">
        <v>557</v>
      </c>
    </row>
    <row r="137" spans="1:5" x14ac:dyDescent="0.25">
      <c r="A137">
        <v>-6.8550000000000004</v>
      </c>
      <c r="B137">
        <v>122.434</v>
      </c>
      <c r="C137">
        <v>268.89999999999998</v>
      </c>
      <c r="D137">
        <v>4.9000000000000004</v>
      </c>
      <c r="E137" t="s">
        <v>561</v>
      </c>
    </row>
    <row r="138" spans="1:5" x14ac:dyDescent="0.25">
      <c r="A138">
        <v>-7.3810000000000002</v>
      </c>
      <c r="B138">
        <v>120.295</v>
      </c>
      <c r="C138">
        <v>595.6</v>
      </c>
      <c r="D138">
        <v>5.8</v>
      </c>
      <c r="E138" t="s">
        <v>557</v>
      </c>
    </row>
    <row r="139" spans="1:5" x14ac:dyDescent="0.25">
      <c r="A139">
        <v>-5.8250000000000002</v>
      </c>
      <c r="B139">
        <v>125.116</v>
      </c>
      <c r="C139">
        <v>31.3</v>
      </c>
      <c r="D139">
        <v>4.8</v>
      </c>
      <c r="E139" t="s">
        <v>37</v>
      </c>
    </row>
    <row r="140" spans="1:5" x14ac:dyDescent="0.25">
      <c r="A140">
        <v>-7.4669999999999996</v>
      </c>
      <c r="B140">
        <v>123.392</v>
      </c>
      <c r="C140">
        <v>290.60000000000002</v>
      </c>
      <c r="D140">
        <v>4.5999999999999996</v>
      </c>
      <c r="E140" t="s">
        <v>571</v>
      </c>
    </row>
    <row r="141" spans="1:5" x14ac:dyDescent="0.25">
      <c r="A141">
        <v>-6.9450000000000003</v>
      </c>
      <c r="B141">
        <v>123.39100000000001</v>
      </c>
      <c r="C141">
        <v>612.20000000000005</v>
      </c>
      <c r="D141">
        <v>4.7</v>
      </c>
      <c r="E141" t="s">
        <v>575</v>
      </c>
    </row>
    <row r="142" spans="1:5" x14ac:dyDescent="0.25">
      <c r="A142">
        <v>-6.9889999999999999</v>
      </c>
      <c r="B142">
        <v>123.28</v>
      </c>
      <c r="C142">
        <v>612.29999999999995</v>
      </c>
      <c r="D142">
        <v>4.8</v>
      </c>
      <c r="E142" t="s">
        <v>579</v>
      </c>
    </row>
    <row r="143" spans="1:5" x14ac:dyDescent="0.25">
      <c r="A143">
        <v>-6.9930000000000003</v>
      </c>
      <c r="B143">
        <v>123.4</v>
      </c>
      <c r="C143">
        <v>626.20000000000005</v>
      </c>
      <c r="D143">
        <v>5.2</v>
      </c>
      <c r="E143" t="s">
        <v>583</v>
      </c>
    </row>
    <row r="144" spans="1:5" x14ac:dyDescent="0.25">
      <c r="A144">
        <v>-7.101</v>
      </c>
      <c r="B144">
        <v>123.386</v>
      </c>
      <c r="C144">
        <v>625.9</v>
      </c>
      <c r="D144">
        <v>5.4</v>
      </c>
      <c r="E144" t="s">
        <v>587</v>
      </c>
    </row>
    <row r="145" spans="1:5" x14ac:dyDescent="0.25">
      <c r="A145">
        <v>-6.9569999999999999</v>
      </c>
      <c r="B145">
        <v>123.374</v>
      </c>
      <c r="C145">
        <v>626.1</v>
      </c>
      <c r="D145">
        <v>4.5</v>
      </c>
      <c r="E145" t="s">
        <v>591</v>
      </c>
    </row>
    <row r="146" spans="1:5" x14ac:dyDescent="0.25">
      <c r="A146">
        <v>-7.3289999999999997</v>
      </c>
      <c r="B146">
        <v>121.626</v>
      </c>
      <c r="C146">
        <v>506.5</v>
      </c>
      <c r="D146">
        <v>5</v>
      </c>
      <c r="E146" t="s">
        <v>595</v>
      </c>
    </row>
    <row r="147" spans="1:5" x14ac:dyDescent="0.25">
      <c r="A147">
        <v>-7.32</v>
      </c>
      <c r="B147">
        <v>120.69199999999999</v>
      </c>
      <c r="C147">
        <v>490.1</v>
      </c>
      <c r="D147">
        <v>4.5999999999999996</v>
      </c>
      <c r="E147" t="s">
        <v>599</v>
      </c>
    </row>
    <row r="148" spans="1:5" x14ac:dyDescent="0.25">
      <c r="A148">
        <v>-6.9740000000000002</v>
      </c>
      <c r="B148">
        <v>122.407</v>
      </c>
      <c r="C148">
        <v>33</v>
      </c>
      <c r="D148">
        <v>4.5999999999999996</v>
      </c>
      <c r="E148" t="s">
        <v>603</v>
      </c>
    </row>
    <row r="149" spans="1:5" x14ac:dyDescent="0.25">
      <c r="A149">
        <v>-7.1909999999999998</v>
      </c>
      <c r="B149">
        <v>122.715</v>
      </c>
      <c r="C149">
        <v>620.29999999999995</v>
      </c>
      <c r="D149">
        <v>5.8</v>
      </c>
      <c r="E149" t="s">
        <v>607</v>
      </c>
    </row>
    <row r="150" spans="1:5" x14ac:dyDescent="0.25">
      <c r="A150">
        <v>-7.2370000000000001</v>
      </c>
      <c r="B150">
        <v>122.68899999999999</v>
      </c>
      <c r="C150">
        <v>632.20000000000005</v>
      </c>
      <c r="D150">
        <v>5.4</v>
      </c>
      <c r="E150" t="s">
        <v>611</v>
      </c>
    </row>
    <row r="151" spans="1:5" x14ac:dyDescent="0.25">
      <c r="A151">
        <v>-6.09</v>
      </c>
      <c r="B151">
        <v>122.69199999999999</v>
      </c>
      <c r="C151">
        <v>33</v>
      </c>
      <c r="D151">
        <v>4.7</v>
      </c>
      <c r="E151" t="s">
        <v>615</v>
      </c>
    </row>
    <row r="152" spans="1:5" x14ac:dyDescent="0.25">
      <c r="A152">
        <v>-6.99</v>
      </c>
      <c r="B152">
        <v>124.807</v>
      </c>
      <c r="C152">
        <v>551.5</v>
      </c>
      <c r="D152">
        <v>5.3</v>
      </c>
      <c r="E152" t="s">
        <v>619</v>
      </c>
    </row>
    <row r="153" spans="1:5" x14ac:dyDescent="0.25">
      <c r="A153">
        <v>-7.1829999999999998</v>
      </c>
      <c r="B153">
        <v>125.242</v>
      </c>
      <c r="C153">
        <v>527.1</v>
      </c>
      <c r="D153">
        <v>5.3</v>
      </c>
      <c r="E153" t="s">
        <v>623</v>
      </c>
    </row>
    <row r="154" spans="1:5" x14ac:dyDescent="0.25">
      <c r="A154">
        <v>-7.3630000000000004</v>
      </c>
      <c r="B154">
        <v>120.363</v>
      </c>
      <c r="C154">
        <v>588.9</v>
      </c>
      <c r="D154">
        <v>7.1</v>
      </c>
      <c r="E154" t="s">
        <v>321</v>
      </c>
    </row>
    <row r="155" spans="1:5" x14ac:dyDescent="0.25">
      <c r="A155">
        <v>-7.4329999999999998</v>
      </c>
      <c r="B155">
        <v>120.426</v>
      </c>
      <c r="C155">
        <v>636.29999999999995</v>
      </c>
      <c r="D155">
        <v>4.5999999999999996</v>
      </c>
      <c r="E155" t="s">
        <v>630</v>
      </c>
    </row>
    <row r="156" spans="1:5" x14ac:dyDescent="0.25">
      <c r="A156">
        <v>-7.0039999999999996</v>
      </c>
      <c r="B156">
        <v>125.074</v>
      </c>
      <c r="C156">
        <v>567</v>
      </c>
      <c r="D156">
        <v>5</v>
      </c>
      <c r="E156" t="s">
        <v>634</v>
      </c>
    </row>
    <row r="157" spans="1:5" x14ac:dyDescent="0.25">
      <c r="A157">
        <v>-7.2229999999999999</v>
      </c>
      <c r="B157">
        <v>120.5</v>
      </c>
      <c r="C157">
        <v>521.79999999999995</v>
      </c>
      <c r="D157">
        <v>4.9000000000000004</v>
      </c>
      <c r="E157" t="s">
        <v>638</v>
      </c>
    </row>
    <row r="158" spans="1:5" x14ac:dyDescent="0.25">
      <c r="A158">
        <v>-6.7169999999999996</v>
      </c>
      <c r="B158">
        <v>124.82899999999999</v>
      </c>
      <c r="C158">
        <v>590.29999999999995</v>
      </c>
      <c r="D158">
        <v>4.5999999999999996</v>
      </c>
      <c r="E158" t="s">
        <v>642</v>
      </c>
    </row>
    <row r="159" spans="1:5" x14ac:dyDescent="0.25">
      <c r="A159">
        <v>-7.0149999999999997</v>
      </c>
      <c r="B159">
        <v>124.913</v>
      </c>
      <c r="C159">
        <v>546.5</v>
      </c>
      <c r="D159">
        <v>5</v>
      </c>
      <c r="E159" t="s">
        <v>646</v>
      </c>
    </row>
    <row r="160" spans="1:5" x14ac:dyDescent="0.25">
      <c r="A160">
        <v>-6.2229999999999999</v>
      </c>
      <c r="B160">
        <v>124.28700000000001</v>
      </c>
      <c r="C160">
        <v>35.5</v>
      </c>
      <c r="D160">
        <v>5.2</v>
      </c>
      <c r="E160" t="s">
        <v>650</v>
      </c>
    </row>
    <row r="161" spans="1:5" x14ac:dyDescent="0.25">
      <c r="A161">
        <v>-6.2779999999999996</v>
      </c>
      <c r="B161">
        <v>124.294</v>
      </c>
      <c r="C161">
        <v>33</v>
      </c>
      <c r="D161">
        <v>5.2</v>
      </c>
      <c r="E161" t="s">
        <v>654</v>
      </c>
    </row>
    <row r="162" spans="1:5" x14ac:dyDescent="0.25">
      <c r="A162">
        <v>-7.202</v>
      </c>
      <c r="B162">
        <v>122.996</v>
      </c>
      <c r="C162">
        <v>544.79999999999995</v>
      </c>
      <c r="D162">
        <v>5</v>
      </c>
      <c r="E162" t="s">
        <v>240</v>
      </c>
    </row>
    <row r="163" spans="1:5" x14ac:dyDescent="0.25">
      <c r="A163">
        <v>-7.3289999999999997</v>
      </c>
      <c r="B163">
        <v>120.416</v>
      </c>
      <c r="C163">
        <v>495.2</v>
      </c>
      <c r="D163">
        <v>4.9000000000000004</v>
      </c>
      <c r="E163" t="s">
        <v>236</v>
      </c>
    </row>
    <row r="164" spans="1:5" x14ac:dyDescent="0.25">
      <c r="A164">
        <v>-7.4950000000000001</v>
      </c>
      <c r="B164">
        <v>119.423</v>
      </c>
      <c r="C164">
        <v>272.39999999999998</v>
      </c>
      <c r="D164">
        <v>4.5</v>
      </c>
      <c r="E164" t="s">
        <v>664</v>
      </c>
    </row>
    <row r="165" spans="1:5" x14ac:dyDescent="0.25">
      <c r="A165">
        <v>-7.2039999999999997</v>
      </c>
      <c r="B165">
        <v>122.533</v>
      </c>
      <c r="C165">
        <v>536.4</v>
      </c>
      <c r="D165">
        <v>6.9</v>
      </c>
      <c r="E165" t="s">
        <v>668</v>
      </c>
    </row>
    <row r="166" spans="1:5" x14ac:dyDescent="0.25">
      <c r="A166">
        <v>-7.2359999999999998</v>
      </c>
      <c r="B166">
        <v>122.354</v>
      </c>
      <c r="C166">
        <v>550</v>
      </c>
      <c r="D166">
        <v>5.3</v>
      </c>
      <c r="E166" t="s">
        <v>672</v>
      </c>
    </row>
    <row r="167" spans="1:5" x14ac:dyDescent="0.25">
      <c r="A167">
        <v>-6.9180000000000001</v>
      </c>
      <c r="B167">
        <v>124.67700000000001</v>
      </c>
      <c r="C167">
        <v>579.79999999999995</v>
      </c>
      <c r="D167">
        <v>4.5</v>
      </c>
      <c r="E167" t="s">
        <v>676</v>
      </c>
    </row>
    <row r="168" spans="1:5" x14ac:dyDescent="0.25">
      <c r="A168">
        <v>-7.22</v>
      </c>
      <c r="B168">
        <v>123.76900000000001</v>
      </c>
      <c r="C168">
        <v>604.4</v>
      </c>
      <c r="D168">
        <v>5.0999999999999996</v>
      </c>
      <c r="E168" t="s">
        <v>680</v>
      </c>
    </row>
    <row r="169" spans="1:5" x14ac:dyDescent="0.25">
      <c r="A169">
        <v>-6.8849999999999998</v>
      </c>
      <c r="B169">
        <v>125.24299999999999</v>
      </c>
      <c r="C169">
        <v>556.29999999999995</v>
      </c>
      <c r="D169">
        <v>5</v>
      </c>
      <c r="E169" t="s">
        <v>684</v>
      </c>
    </row>
    <row r="170" spans="1:5" x14ac:dyDescent="0.25">
      <c r="A170">
        <v>-7.22</v>
      </c>
      <c r="B170">
        <v>125.15300000000001</v>
      </c>
      <c r="C170">
        <v>401.7</v>
      </c>
      <c r="D170">
        <v>4.8</v>
      </c>
      <c r="E170" t="s">
        <v>688</v>
      </c>
    </row>
    <row r="171" spans="1:5" x14ac:dyDescent="0.25">
      <c r="A171">
        <v>-7.3869999999999996</v>
      </c>
      <c r="B171">
        <v>119.468</v>
      </c>
      <c r="C171">
        <v>242.1</v>
      </c>
      <c r="D171">
        <v>4.9000000000000004</v>
      </c>
      <c r="E171" t="s">
        <v>692</v>
      </c>
    </row>
    <row r="172" spans="1:5" x14ac:dyDescent="0.25">
      <c r="A172">
        <v>-6.7480000000000002</v>
      </c>
      <c r="B172">
        <v>125.25</v>
      </c>
      <c r="C172">
        <v>533.1</v>
      </c>
      <c r="D172">
        <v>4.9000000000000004</v>
      </c>
      <c r="E172" t="s">
        <v>696</v>
      </c>
    </row>
    <row r="173" spans="1:5" x14ac:dyDescent="0.25">
      <c r="A173">
        <v>-7.149</v>
      </c>
      <c r="B173">
        <v>125.17400000000001</v>
      </c>
      <c r="C173">
        <v>525.20000000000005</v>
      </c>
      <c r="D173">
        <v>4.8</v>
      </c>
      <c r="E173" t="s">
        <v>700</v>
      </c>
    </row>
    <row r="174" spans="1:5" x14ac:dyDescent="0.25">
      <c r="A174">
        <v>-7.5330000000000004</v>
      </c>
      <c r="B174">
        <v>122.83799999999999</v>
      </c>
      <c r="C174">
        <v>262</v>
      </c>
      <c r="D174">
        <v>4.5999999999999996</v>
      </c>
      <c r="E174" t="s">
        <v>704</v>
      </c>
    </row>
    <row r="175" spans="1:5" x14ac:dyDescent="0.25">
      <c r="A175">
        <v>-7.28</v>
      </c>
      <c r="B175">
        <v>122.46299999999999</v>
      </c>
      <c r="C175">
        <v>556.4</v>
      </c>
      <c r="D175">
        <v>5</v>
      </c>
      <c r="E175" t="s">
        <v>708</v>
      </c>
    </row>
    <row r="176" spans="1:5" x14ac:dyDescent="0.25">
      <c r="A176">
        <v>-7.4450000000000003</v>
      </c>
      <c r="B176">
        <v>124.732</v>
      </c>
      <c r="C176">
        <v>386.7</v>
      </c>
      <c r="D176">
        <v>5.0999999999999996</v>
      </c>
      <c r="E176" t="s">
        <v>712</v>
      </c>
    </row>
    <row r="177" spans="1:5" x14ac:dyDescent="0.25">
      <c r="A177">
        <v>-7.0990000000000002</v>
      </c>
      <c r="B177">
        <v>124.19499999999999</v>
      </c>
      <c r="C177">
        <v>610.70000000000005</v>
      </c>
      <c r="D177">
        <v>5.2</v>
      </c>
      <c r="E177" t="s">
        <v>716</v>
      </c>
    </row>
    <row r="178" spans="1:5" x14ac:dyDescent="0.25">
      <c r="A178">
        <v>-6.5090000000000003</v>
      </c>
      <c r="B178">
        <v>124.31699999999999</v>
      </c>
      <c r="C178">
        <v>597.4</v>
      </c>
      <c r="D178">
        <v>4.9000000000000004</v>
      </c>
      <c r="E178" t="s">
        <v>720</v>
      </c>
    </row>
    <row r="179" spans="1:5" x14ac:dyDescent="0.25">
      <c r="A179">
        <v>-7.4279999999999999</v>
      </c>
      <c r="B179">
        <v>125.233</v>
      </c>
      <c r="C179">
        <v>326</v>
      </c>
      <c r="D179">
        <v>4.5</v>
      </c>
      <c r="E179" t="s">
        <v>724</v>
      </c>
    </row>
    <row r="180" spans="1:5" x14ac:dyDescent="0.25">
      <c r="A180">
        <v>-7.1440000000000001</v>
      </c>
      <c r="B180">
        <v>125.09099999999999</v>
      </c>
      <c r="C180">
        <v>507.7</v>
      </c>
      <c r="D180">
        <v>4.9000000000000004</v>
      </c>
      <c r="E180" t="s">
        <v>728</v>
      </c>
    </row>
    <row r="181" spans="1:5" x14ac:dyDescent="0.25">
      <c r="A181">
        <v>-7.1130000000000004</v>
      </c>
      <c r="B181">
        <v>125.063</v>
      </c>
      <c r="C181">
        <v>492.4</v>
      </c>
      <c r="D181">
        <v>5.2</v>
      </c>
      <c r="E181" t="s">
        <v>732</v>
      </c>
    </row>
    <row r="182" spans="1:5" x14ac:dyDescent="0.25">
      <c r="A182">
        <v>-7.1260000000000003</v>
      </c>
      <c r="B182">
        <v>121.748</v>
      </c>
      <c r="C182">
        <v>485.9</v>
      </c>
      <c r="D182">
        <v>6.6</v>
      </c>
      <c r="E182" t="s">
        <v>737</v>
      </c>
    </row>
    <row r="183" spans="1:5" x14ac:dyDescent="0.25">
      <c r="A183">
        <v>-7.32</v>
      </c>
      <c r="B183">
        <v>120.35599999999999</v>
      </c>
      <c r="C183">
        <v>638.5</v>
      </c>
      <c r="D183">
        <v>5</v>
      </c>
      <c r="E183" t="s">
        <v>400</v>
      </c>
    </row>
    <row r="184" spans="1:5" x14ac:dyDescent="0.25">
      <c r="A184">
        <v>-7.407</v>
      </c>
      <c r="B184">
        <v>120.321</v>
      </c>
      <c r="C184">
        <v>657.6</v>
      </c>
      <c r="D184">
        <v>4.7</v>
      </c>
      <c r="E184" t="s">
        <v>256</v>
      </c>
    </row>
    <row r="185" spans="1:5" x14ac:dyDescent="0.25">
      <c r="A185">
        <v>-7.3179999999999996</v>
      </c>
      <c r="B185">
        <v>120.33799999999999</v>
      </c>
      <c r="C185">
        <v>398.9</v>
      </c>
      <c r="D185">
        <v>4.7</v>
      </c>
      <c r="E185" t="s">
        <v>400</v>
      </c>
    </row>
    <row r="186" spans="1:5" x14ac:dyDescent="0.25">
      <c r="A186">
        <v>-7.0259999999999998</v>
      </c>
      <c r="B186">
        <v>122.97</v>
      </c>
      <c r="C186">
        <v>33</v>
      </c>
      <c r="D186">
        <v>4.7</v>
      </c>
      <c r="E186" t="s">
        <v>750</v>
      </c>
    </row>
    <row r="187" spans="1:5" x14ac:dyDescent="0.25">
      <c r="A187">
        <v>-7.5289999999999999</v>
      </c>
      <c r="B187">
        <v>120.803</v>
      </c>
      <c r="C187">
        <v>39.4</v>
      </c>
      <c r="D187">
        <v>4.9000000000000004</v>
      </c>
      <c r="E187" t="s">
        <v>754</v>
      </c>
    </row>
    <row r="188" spans="1:5" x14ac:dyDescent="0.25">
      <c r="A188">
        <v>-4.548</v>
      </c>
      <c r="B188">
        <v>119.94799999999999</v>
      </c>
      <c r="C188">
        <v>60</v>
      </c>
      <c r="D188">
        <v>5</v>
      </c>
      <c r="E188" t="s">
        <v>758</v>
      </c>
    </row>
    <row r="189" spans="1:5" x14ac:dyDescent="0.25">
      <c r="A189">
        <v>-5.2430000000000003</v>
      </c>
      <c r="B189">
        <v>123.535</v>
      </c>
      <c r="C189">
        <v>33</v>
      </c>
      <c r="D189">
        <v>5</v>
      </c>
      <c r="E189" t="s">
        <v>762</v>
      </c>
    </row>
    <row r="190" spans="1:5" x14ac:dyDescent="0.25">
      <c r="A190">
        <v>-7.4930000000000003</v>
      </c>
      <c r="B190">
        <v>118.962</v>
      </c>
      <c r="C190">
        <v>39.799999999999997</v>
      </c>
      <c r="D190">
        <v>4.8</v>
      </c>
      <c r="E190" t="s">
        <v>766</v>
      </c>
    </row>
    <row r="191" spans="1:5" x14ac:dyDescent="0.25">
      <c r="A191">
        <v>-7.1769999999999996</v>
      </c>
      <c r="B191">
        <v>120.27200000000001</v>
      </c>
      <c r="C191">
        <v>585.70000000000005</v>
      </c>
      <c r="D191">
        <v>4.9000000000000004</v>
      </c>
      <c r="E191" t="s">
        <v>221</v>
      </c>
    </row>
    <row r="192" spans="1:5" x14ac:dyDescent="0.25">
      <c r="A192">
        <v>-6.069</v>
      </c>
      <c r="B192">
        <v>125.06399999999999</v>
      </c>
      <c r="C192">
        <v>592.5</v>
      </c>
      <c r="D192">
        <v>5.0999999999999996</v>
      </c>
      <c r="E192" t="s">
        <v>773</v>
      </c>
    </row>
    <row r="193" spans="1:5" x14ac:dyDescent="0.25">
      <c r="A193">
        <v>-6.8179999999999996</v>
      </c>
      <c r="B193">
        <v>125.246</v>
      </c>
      <c r="C193">
        <v>525.4</v>
      </c>
      <c r="D193">
        <v>4.8</v>
      </c>
      <c r="E193" t="s">
        <v>777</v>
      </c>
    </row>
    <row r="194" spans="1:5" x14ac:dyDescent="0.25">
      <c r="A194">
        <v>-7.2750000000000004</v>
      </c>
      <c r="B194">
        <v>119.75</v>
      </c>
      <c r="C194">
        <v>447.8</v>
      </c>
      <c r="D194">
        <v>5.0999999999999996</v>
      </c>
      <c r="E194" t="s">
        <v>781</v>
      </c>
    </row>
    <row r="195" spans="1:5" x14ac:dyDescent="0.25">
      <c r="A195">
        <v>-6.09</v>
      </c>
      <c r="B195">
        <v>123.489</v>
      </c>
      <c r="C195">
        <v>638.4</v>
      </c>
      <c r="D195">
        <v>4.7</v>
      </c>
      <c r="E195" t="s">
        <v>785</v>
      </c>
    </row>
    <row r="196" spans="1:5" x14ac:dyDescent="0.25">
      <c r="A196">
        <v>-7.2619999999999996</v>
      </c>
      <c r="B196">
        <v>119.17</v>
      </c>
      <c r="C196">
        <v>606.29999999999995</v>
      </c>
      <c r="D196">
        <v>4.9000000000000004</v>
      </c>
      <c r="E196" t="s">
        <v>789</v>
      </c>
    </row>
    <row r="197" spans="1:5" x14ac:dyDescent="0.25">
      <c r="A197">
        <v>-7.2640000000000002</v>
      </c>
      <c r="B197">
        <v>120.425</v>
      </c>
      <c r="C197">
        <v>553.1</v>
      </c>
      <c r="D197">
        <v>5</v>
      </c>
      <c r="E197" t="s">
        <v>312</v>
      </c>
    </row>
    <row r="198" spans="1:5" x14ac:dyDescent="0.25">
      <c r="A198">
        <v>-7.2910000000000004</v>
      </c>
      <c r="B198">
        <v>123.36199999999999</v>
      </c>
      <c r="C198">
        <v>601.5</v>
      </c>
      <c r="D198">
        <v>4.8</v>
      </c>
      <c r="E198" t="s">
        <v>796</v>
      </c>
    </row>
    <row r="199" spans="1:5" x14ac:dyDescent="0.25">
      <c r="A199">
        <v>-7.5350000000000001</v>
      </c>
      <c r="B199">
        <v>120.074</v>
      </c>
      <c r="C199">
        <v>414.7</v>
      </c>
      <c r="D199">
        <v>5</v>
      </c>
      <c r="E199" t="s">
        <v>800</v>
      </c>
    </row>
    <row r="200" spans="1:5" x14ac:dyDescent="0.25">
      <c r="A200">
        <v>-7.3869999999999996</v>
      </c>
      <c r="B200">
        <v>119.771</v>
      </c>
      <c r="C200">
        <v>433.6</v>
      </c>
      <c r="D200">
        <v>5.0999999999999996</v>
      </c>
      <c r="E200" t="s">
        <v>804</v>
      </c>
    </row>
    <row r="201" spans="1:5" x14ac:dyDescent="0.25">
      <c r="A201">
        <v>-7.2140000000000004</v>
      </c>
      <c r="B201">
        <v>120.501</v>
      </c>
      <c r="C201">
        <v>551.4</v>
      </c>
      <c r="D201">
        <v>4.9000000000000004</v>
      </c>
      <c r="E201" t="s">
        <v>808</v>
      </c>
    </row>
    <row r="202" spans="1:5" x14ac:dyDescent="0.25">
      <c r="A202">
        <v>-6.9649999999999999</v>
      </c>
      <c r="B202">
        <v>124.111</v>
      </c>
      <c r="C202">
        <v>595.6</v>
      </c>
      <c r="D202">
        <v>6.2</v>
      </c>
      <c r="E202" t="s">
        <v>812</v>
      </c>
    </row>
    <row r="203" spans="1:5" x14ac:dyDescent="0.25">
      <c r="A203">
        <v>-6.9160000000000004</v>
      </c>
      <c r="B203">
        <v>118.723</v>
      </c>
      <c r="C203">
        <v>149.69999999999999</v>
      </c>
      <c r="D203">
        <v>4.5999999999999996</v>
      </c>
      <c r="E203" t="s">
        <v>816</v>
      </c>
    </row>
    <row r="204" spans="1:5" x14ac:dyDescent="0.25">
      <c r="A204">
        <v>-7.2990000000000004</v>
      </c>
      <c r="B204">
        <v>122.363</v>
      </c>
      <c r="C204">
        <v>494.5</v>
      </c>
      <c r="D204">
        <v>4.5999999999999996</v>
      </c>
      <c r="E204" t="s">
        <v>820</v>
      </c>
    </row>
    <row r="205" spans="1:5" x14ac:dyDescent="0.25">
      <c r="A205">
        <v>-5.8650000000000002</v>
      </c>
      <c r="B205">
        <v>125.163</v>
      </c>
      <c r="C205">
        <v>583.1</v>
      </c>
      <c r="D205">
        <v>4.5999999999999996</v>
      </c>
      <c r="E205" t="s">
        <v>37</v>
      </c>
    </row>
    <row r="206" spans="1:5" x14ac:dyDescent="0.25">
      <c r="A206">
        <v>-7.08</v>
      </c>
      <c r="B206">
        <v>125.117</v>
      </c>
      <c r="C206">
        <v>520.6</v>
      </c>
      <c r="D206">
        <v>4.9000000000000004</v>
      </c>
      <c r="E206" t="s">
        <v>827</v>
      </c>
    </row>
    <row r="207" spans="1:5" x14ac:dyDescent="0.25">
      <c r="A207">
        <v>-6.992</v>
      </c>
      <c r="B207">
        <v>123.66500000000001</v>
      </c>
      <c r="C207">
        <v>630.6</v>
      </c>
      <c r="D207">
        <v>5.2</v>
      </c>
      <c r="E207" t="s">
        <v>831</v>
      </c>
    </row>
    <row r="208" spans="1:5" x14ac:dyDescent="0.25">
      <c r="A208">
        <v>-6.992</v>
      </c>
      <c r="B208">
        <v>124.84099999999999</v>
      </c>
      <c r="C208">
        <v>572.29999999999995</v>
      </c>
      <c r="D208">
        <v>4.5999999999999996</v>
      </c>
      <c r="E208" t="s">
        <v>835</v>
      </c>
    </row>
    <row r="209" spans="1:5" x14ac:dyDescent="0.25">
      <c r="A209">
        <v>-7.0810000000000004</v>
      </c>
      <c r="B209">
        <v>123.667</v>
      </c>
      <c r="C209">
        <v>637.70000000000005</v>
      </c>
      <c r="D209">
        <v>5.6</v>
      </c>
      <c r="E209" t="s">
        <v>839</v>
      </c>
    </row>
    <row r="210" spans="1:5" x14ac:dyDescent="0.25">
      <c r="A210">
        <v>-6.9059999999999997</v>
      </c>
      <c r="B210">
        <v>123.47799999999999</v>
      </c>
      <c r="C210">
        <v>610.1</v>
      </c>
      <c r="D210">
        <v>4.9000000000000004</v>
      </c>
      <c r="E210" t="s">
        <v>843</v>
      </c>
    </row>
    <row r="211" spans="1:5" x14ac:dyDescent="0.25">
      <c r="A211">
        <v>-7.26</v>
      </c>
      <c r="B211">
        <v>120.30800000000001</v>
      </c>
      <c r="C211">
        <v>600</v>
      </c>
      <c r="D211">
        <v>4.7</v>
      </c>
      <c r="E211" t="s">
        <v>27</v>
      </c>
    </row>
    <row r="212" spans="1:5" x14ac:dyDescent="0.25">
      <c r="A212">
        <v>-7.0709999999999997</v>
      </c>
      <c r="B212">
        <v>123.28400000000001</v>
      </c>
      <c r="C212">
        <v>610.1</v>
      </c>
      <c r="D212">
        <v>4.7</v>
      </c>
      <c r="E212" t="s">
        <v>850</v>
      </c>
    </row>
    <row r="213" spans="1:5" x14ac:dyDescent="0.25">
      <c r="A213">
        <v>-6.9219999999999997</v>
      </c>
      <c r="B213">
        <v>125.256</v>
      </c>
      <c r="C213">
        <v>523.70000000000005</v>
      </c>
      <c r="D213">
        <v>5.2</v>
      </c>
      <c r="E213" t="s">
        <v>854</v>
      </c>
    </row>
    <row r="214" spans="1:5" x14ac:dyDescent="0.25">
      <c r="A214">
        <v>-7.0250000000000004</v>
      </c>
      <c r="B214">
        <v>124.795</v>
      </c>
      <c r="C214">
        <v>516</v>
      </c>
      <c r="D214">
        <v>4.8</v>
      </c>
      <c r="E214" t="s">
        <v>41</v>
      </c>
    </row>
    <row r="215" spans="1:5" x14ac:dyDescent="0.25">
      <c r="A215">
        <v>-6.9450000000000003</v>
      </c>
      <c r="B215">
        <v>125.194</v>
      </c>
      <c r="C215">
        <v>532.1</v>
      </c>
      <c r="D215">
        <v>5.8</v>
      </c>
      <c r="E215" t="s">
        <v>861</v>
      </c>
    </row>
    <row r="216" spans="1:5" x14ac:dyDescent="0.25">
      <c r="A216">
        <v>-7.1369999999999996</v>
      </c>
      <c r="B216">
        <v>122.589</v>
      </c>
      <c r="C216">
        <v>587.29999999999995</v>
      </c>
      <c r="D216">
        <v>7.9</v>
      </c>
      <c r="E216" t="s">
        <v>866</v>
      </c>
    </row>
    <row r="217" spans="1:5" x14ac:dyDescent="0.25">
      <c r="A217">
        <v>-7.4450000000000003</v>
      </c>
      <c r="B217">
        <v>122.691</v>
      </c>
      <c r="C217">
        <v>600</v>
      </c>
      <c r="D217">
        <v>5.2</v>
      </c>
      <c r="E217" t="s">
        <v>870</v>
      </c>
    </row>
    <row r="218" spans="1:5" x14ac:dyDescent="0.25">
      <c r="A218">
        <v>-7.2389999999999999</v>
      </c>
      <c r="B218">
        <v>122.209</v>
      </c>
      <c r="C218">
        <v>600</v>
      </c>
      <c r="D218">
        <v>4.7</v>
      </c>
      <c r="E218" t="s">
        <v>448</v>
      </c>
    </row>
    <row r="219" spans="1:5" x14ac:dyDescent="0.25">
      <c r="A219">
        <v>-7.1749999999999998</v>
      </c>
      <c r="B219">
        <v>122.92</v>
      </c>
      <c r="C219">
        <v>600</v>
      </c>
      <c r="D219">
        <v>4.5</v>
      </c>
      <c r="E219" t="s">
        <v>877</v>
      </c>
    </row>
    <row r="220" spans="1:5" x14ac:dyDescent="0.25">
      <c r="A220">
        <v>-7.3559999999999999</v>
      </c>
      <c r="B220">
        <v>122.297</v>
      </c>
      <c r="C220">
        <v>600</v>
      </c>
      <c r="D220">
        <v>4.5</v>
      </c>
      <c r="E220" t="s">
        <v>881</v>
      </c>
    </row>
    <row r="221" spans="1:5" x14ac:dyDescent="0.25">
      <c r="A221">
        <v>-7.2480000000000002</v>
      </c>
      <c r="B221">
        <v>122.892</v>
      </c>
      <c r="C221">
        <v>600</v>
      </c>
      <c r="D221">
        <v>5.0999999999999996</v>
      </c>
      <c r="E221" t="s">
        <v>866</v>
      </c>
    </row>
    <row r="222" spans="1:5" x14ac:dyDescent="0.25">
      <c r="A222">
        <v>-7.4240000000000004</v>
      </c>
      <c r="B222">
        <v>122.40300000000001</v>
      </c>
      <c r="C222">
        <v>600</v>
      </c>
      <c r="D222">
        <v>4.5999999999999996</v>
      </c>
      <c r="E222" t="s">
        <v>888</v>
      </c>
    </row>
    <row r="223" spans="1:5" x14ac:dyDescent="0.25">
      <c r="A223">
        <v>-7.1289999999999996</v>
      </c>
      <c r="B223">
        <v>122.34399999999999</v>
      </c>
      <c r="C223">
        <v>570.5</v>
      </c>
      <c r="D223">
        <v>5.3</v>
      </c>
      <c r="E223" t="s">
        <v>892</v>
      </c>
    </row>
    <row r="224" spans="1:5" x14ac:dyDescent="0.25">
      <c r="A224">
        <v>-7.1479999999999997</v>
      </c>
      <c r="B224">
        <v>122.395</v>
      </c>
      <c r="C224">
        <v>600</v>
      </c>
      <c r="D224">
        <v>5.4</v>
      </c>
      <c r="E224" t="s">
        <v>896</v>
      </c>
    </row>
    <row r="225" spans="1:5" x14ac:dyDescent="0.25">
      <c r="A225">
        <v>-6.5419999999999998</v>
      </c>
      <c r="B225">
        <v>123.163</v>
      </c>
      <c r="C225">
        <v>550</v>
      </c>
      <c r="D225">
        <v>5</v>
      </c>
      <c r="E225" t="s">
        <v>900</v>
      </c>
    </row>
    <row r="226" spans="1:5" x14ac:dyDescent="0.25">
      <c r="A226">
        <v>-7.1239999999999997</v>
      </c>
      <c r="B226">
        <v>123.27500000000001</v>
      </c>
      <c r="C226">
        <v>595.70000000000005</v>
      </c>
      <c r="D226">
        <v>6</v>
      </c>
      <c r="E226" t="s">
        <v>904</v>
      </c>
    </row>
    <row r="227" spans="1:5" x14ac:dyDescent="0.25">
      <c r="A227">
        <v>-7.2110000000000003</v>
      </c>
      <c r="B227">
        <v>124.142</v>
      </c>
      <c r="C227">
        <v>565.4</v>
      </c>
      <c r="D227">
        <v>4.7</v>
      </c>
      <c r="E227" t="s">
        <v>908</v>
      </c>
    </row>
    <row r="228" spans="1:5" x14ac:dyDescent="0.25">
      <c r="A228">
        <v>-7.2320000000000002</v>
      </c>
      <c r="B228">
        <v>122.979</v>
      </c>
      <c r="C228">
        <v>600</v>
      </c>
      <c r="D228">
        <v>4.8</v>
      </c>
      <c r="E228" t="s">
        <v>912</v>
      </c>
    </row>
    <row r="229" spans="1:5" x14ac:dyDescent="0.25">
      <c r="A229">
        <v>-7.0309999999999997</v>
      </c>
      <c r="B229">
        <v>124.117</v>
      </c>
      <c r="C229">
        <v>500</v>
      </c>
      <c r="D229">
        <v>4.8</v>
      </c>
      <c r="E229" t="s">
        <v>916</v>
      </c>
    </row>
    <row r="230" spans="1:5" x14ac:dyDescent="0.25">
      <c r="A230">
        <v>-7.1159999999999997</v>
      </c>
      <c r="B230">
        <v>122.61199999999999</v>
      </c>
      <c r="C230">
        <v>578.5</v>
      </c>
      <c r="D230">
        <v>5.3</v>
      </c>
      <c r="E230" t="s">
        <v>920</v>
      </c>
    </row>
    <row r="231" spans="1:5" x14ac:dyDescent="0.25">
      <c r="A231">
        <v>-7.032</v>
      </c>
      <c r="B231">
        <v>125.274</v>
      </c>
      <c r="C231">
        <v>550</v>
      </c>
      <c r="D231">
        <v>4.9000000000000004</v>
      </c>
      <c r="E231" t="s">
        <v>924</v>
      </c>
    </row>
    <row r="232" spans="1:5" x14ac:dyDescent="0.25">
      <c r="A232">
        <v>-7.492</v>
      </c>
      <c r="B232">
        <v>120.902</v>
      </c>
      <c r="C232">
        <v>600</v>
      </c>
      <c r="D232">
        <v>4.8</v>
      </c>
      <c r="E232" t="s">
        <v>928</v>
      </c>
    </row>
    <row r="233" spans="1:5" x14ac:dyDescent="0.25">
      <c r="A233">
        <v>-7.2930000000000001</v>
      </c>
      <c r="B233">
        <v>120.968</v>
      </c>
      <c r="C233">
        <v>500</v>
      </c>
      <c r="D233">
        <v>4.8</v>
      </c>
      <c r="E233" t="s">
        <v>932</v>
      </c>
    </row>
    <row r="234" spans="1:5" x14ac:dyDescent="0.25">
      <c r="A234">
        <v>-5.6719999999999997</v>
      </c>
      <c r="B234">
        <v>123.94199999999999</v>
      </c>
      <c r="C234">
        <v>33</v>
      </c>
      <c r="D234">
        <v>4.5999999999999996</v>
      </c>
      <c r="E234" t="s">
        <v>936</v>
      </c>
    </row>
    <row r="235" spans="1:5" x14ac:dyDescent="0.25">
      <c r="A235">
        <v>-7.2009999999999996</v>
      </c>
      <c r="B235">
        <v>120.146</v>
      </c>
      <c r="C235">
        <v>350</v>
      </c>
      <c r="D235">
        <v>4.5</v>
      </c>
      <c r="E235" t="s">
        <v>940</v>
      </c>
    </row>
    <row r="236" spans="1:5" x14ac:dyDescent="0.25">
      <c r="A236">
        <v>-7.375</v>
      </c>
      <c r="B236">
        <v>120.389</v>
      </c>
      <c r="C236">
        <v>100</v>
      </c>
      <c r="D236">
        <v>4.5</v>
      </c>
      <c r="E236" t="s">
        <v>321</v>
      </c>
    </row>
    <row r="237" spans="1:5" x14ac:dyDescent="0.25">
      <c r="A237">
        <v>-7.3609999999999998</v>
      </c>
      <c r="B237">
        <v>120.27200000000001</v>
      </c>
      <c r="C237">
        <v>440.2</v>
      </c>
      <c r="D237">
        <v>4.5</v>
      </c>
      <c r="E237" t="s">
        <v>947</v>
      </c>
    </row>
    <row r="238" spans="1:5" x14ac:dyDescent="0.25">
      <c r="A238">
        <v>-7.3090000000000002</v>
      </c>
      <c r="B238">
        <v>120.369</v>
      </c>
      <c r="C238">
        <v>586.5</v>
      </c>
      <c r="D238">
        <v>5.2</v>
      </c>
      <c r="E238" t="s">
        <v>236</v>
      </c>
    </row>
    <row r="239" spans="1:5" x14ac:dyDescent="0.25">
      <c r="A239">
        <v>-7.1970000000000001</v>
      </c>
      <c r="B239">
        <v>120.342</v>
      </c>
      <c r="C239">
        <v>600</v>
      </c>
      <c r="D239">
        <v>4.9000000000000004</v>
      </c>
      <c r="E239" t="s">
        <v>264</v>
      </c>
    </row>
    <row r="240" spans="1:5" x14ac:dyDescent="0.25">
      <c r="A240">
        <v>-5.8680000000000003</v>
      </c>
      <c r="B240">
        <v>125.093</v>
      </c>
      <c r="C240">
        <v>33</v>
      </c>
      <c r="D240">
        <v>4.7</v>
      </c>
      <c r="E240" t="s">
        <v>37</v>
      </c>
    </row>
    <row r="241" spans="1:5" x14ac:dyDescent="0.25">
      <c r="A241">
        <v>-7.4560000000000004</v>
      </c>
      <c r="B241">
        <v>119.94499999999999</v>
      </c>
      <c r="C241">
        <v>450</v>
      </c>
      <c r="D241">
        <v>4.5999999999999996</v>
      </c>
      <c r="E241" t="s">
        <v>960</v>
      </c>
    </row>
    <row r="242" spans="1:5" x14ac:dyDescent="0.25">
      <c r="A242">
        <v>-7.2229999999999999</v>
      </c>
      <c r="B242">
        <v>120.29600000000001</v>
      </c>
      <c r="C242">
        <v>585</v>
      </c>
      <c r="D242">
        <v>5.0999999999999996</v>
      </c>
      <c r="E242" t="s">
        <v>964</v>
      </c>
    </row>
    <row r="243" spans="1:5" x14ac:dyDescent="0.25">
      <c r="A243">
        <v>-6.5540000000000003</v>
      </c>
      <c r="B243">
        <v>124.995</v>
      </c>
      <c r="C243">
        <v>589.70000000000005</v>
      </c>
      <c r="D243">
        <v>4.9000000000000004</v>
      </c>
      <c r="E243" t="s">
        <v>968</v>
      </c>
    </row>
    <row r="244" spans="1:5" x14ac:dyDescent="0.25">
      <c r="A244">
        <v>-5.6379999999999999</v>
      </c>
      <c r="B244">
        <v>122.545</v>
      </c>
      <c r="C244">
        <v>33</v>
      </c>
      <c r="D244">
        <v>4.5999999999999996</v>
      </c>
      <c r="E244" t="s">
        <v>972</v>
      </c>
    </row>
    <row r="245" spans="1:5" x14ac:dyDescent="0.25">
      <c r="A245">
        <v>-7.1360000000000001</v>
      </c>
      <c r="B245">
        <v>124.77</v>
      </c>
      <c r="C245">
        <v>565.29999999999995</v>
      </c>
      <c r="D245">
        <v>4.5</v>
      </c>
      <c r="E245" t="s">
        <v>976</v>
      </c>
    </row>
    <row r="246" spans="1:5" x14ac:dyDescent="0.25">
      <c r="A246">
        <v>-7.202</v>
      </c>
      <c r="B246">
        <v>120.401</v>
      </c>
      <c r="C246">
        <v>600</v>
      </c>
      <c r="D246">
        <v>5.0999999999999996</v>
      </c>
      <c r="E246" t="s">
        <v>980</v>
      </c>
    </row>
    <row r="247" spans="1:5" x14ac:dyDescent="0.25">
      <c r="A247">
        <v>-6.4059999999999997</v>
      </c>
      <c r="B247">
        <v>123.569</v>
      </c>
      <c r="C247">
        <v>33</v>
      </c>
      <c r="D247">
        <v>5.0999999999999996</v>
      </c>
      <c r="E247" t="s">
        <v>984</v>
      </c>
    </row>
    <row r="248" spans="1:5" x14ac:dyDescent="0.25">
      <c r="A248">
        <v>-5.2089999999999996</v>
      </c>
      <c r="B248">
        <v>123.154</v>
      </c>
      <c r="C248">
        <v>33</v>
      </c>
      <c r="D248">
        <v>4.5</v>
      </c>
      <c r="E248" t="s">
        <v>37</v>
      </c>
    </row>
    <row r="249" spans="1:5" x14ac:dyDescent="0.25">
      <c r="A249">
        <v>-7.101</v>
      </c>
      <c r="B249">
        <v>120.172</v>
      </c>
      <c r="C249">
        <v>593.79999999999995</v>
      </c>
      <c r="D249">
        <v>4.7</v>
      </c>
      <c r="E249" t="s">
        <v>991</v>
      </c>
    </row>
    <row r="250" spans="1:5" x14ac:dyDescent="0.25">
      <c r="A250">
        <v>-7.2169999999999996</v>
      </c>
      <c r="B250">
        <v>120.733</v>
      </c>
      <c r="C250">
        <v>508.6</v>
      </c>
      <c r="D250">
        <v>4.5</v>
      </c>
      <c r="E250" t="s">
        <v>995</v>
      </c>
    </row>
    <row r="251" spans="1:5" x14ac:dyDescent="0.25">
      <c r="A251">
        <v>-7.19</v>
      </c>
      <c r="B251">
        <v>120.429</v>
      </c>
      <c r="C251">
        <v>593.70000000000005</v>
      </c>
      <c r="D251">
        <v>4.5999999999999996</v>
      </c>
      <c r="E251" t="s">
        <v>999</v>
      </c>
    </row>
    <row r="252" spans="1:5" x14ac:dyDescent="0.25">
      <c r="A252">
        <v>-6.8029999999999999</v>
      </c>
      <c r="B252">
        <v>125.152</v>
      </c>
      <c r="C252">
        <v>542.70000000000005</v>
      </c>
      <c r="D252">
        <v>4.7</v>
      </c>
      <c r="E252" t="s">
        <v>1003</v>
      </c>
    </row>
    <row r="253" spans="1:5" x14ac:dyDescent="0.25">
      <c r="A253">
        <v>-7.4770000000000003</v>
      </c>
      <c r="B253">
        <v>123.402</v>
      </c>
      <c r="C253">
        <v>379.5</v>
      </c>
      <c r="D253">
        <v>5.4</v>
      </c>
      <c r="E253" t="s">
        <v>571</v>
      </c>
    </row>
    <row r="254" spans="1:5" x14ac:dyDescent="0.25">
      <c r="A254">
        <v>-4.5519999999999996</v>
      </c>
      <c r="B254">
        <v>123.13</v>
      </c>
      <c r="C254">
        <v>33</v>
      </c>
      <c r="D254">
        <v>4.5999999999999996</v>
      </c>
      <c r="E254" t="s">
        <v>1010</v>
      </c>
    </row>
    <row r="255" spans="1:5" x14ac:dyDescent="0.25">
      <c r="A255">
        <v>-6.976</v>
      </c>
      <c r="B255">
        <v>124.65300000000001</v>
      </c>
      <c r="C255">
        <v>469.3</v>
      </c>
      <c r="D255">
        <v>4.5999999999999996</v>
      </c>
      <c r="E255" t="s">
        <v>1014</v>
      </c>
    </row>
    <row r="256" spans="1:5" x14ac:dyDescent="0.25">
      <c r="A256">
        <v>-7.3209999999999997</v>
      </c>
      <c r="B256">
        <v>120.44</v>
      </c>
      <c r="C256">
        <v>515</v>
      </c>
      <c r="D256">
        <v>4.7</v>
      </c>
      <c r="E256" t="s">
        <v>1018</v>
      </c>
    </row>
    <row r="257" spans="1:5" x14ac:dyDescent="0.25">
      <c r="A257">
        <v>-7.1379999999999999</v>
      </c>
      <c r="B257">
        <v>124.98699999999999</v>
      </c>
      <c r="C257">
        <v>516.29999999999995</v>
      </c>
      <c r="D257">
        <v>4.8</v>
      </c>
      <c r="E257" t="s">
        <v>1022</v>
      </c>
    </row>
    <row r="258" spans="1:5" x14ac:dyDescent="0.25">
      <c r="A258">
        <v>-7.3410000000000002</v>
      </c>
      <c r="B258">
        <v>123.919</v>
      </c>
      <c r="C258">
        <v>558.5</v>
      </c>
      <c r="D258">
        <v>4.7</v>
      </c>
      <c r="E258" t="s">
        <v>1026</v>
      </c>
    </row>
    <row r="259" spans="1:5" x14ac:dyDescent="0.25">
      <c r="A259">
        <v>-7.4850000000000003</v>
      </c>
      <c r="B259">
        <v>122.678</v>
      </c>
      <c r="C259">
        <v>574.9</v>
      </c>
      <c r="D259">
        <v>5.5</v>
      </c>
      <c r="E259" t="s">
        <v>1030</v>
      </c>
    </row>
    <row r="260" spans="1:5" x14ac:dyDescent="0.25">
      <c r="A260">
        <v>-7.33</v>
      </c>
      <c r="B260">
        <v>123.68899999999999</v>
      </c>
      <c r="C260">
        <v>600</v>
      </c>
      <c r="D260">
        <v>4.7</v>
      </c>
      <c r="E260" t="s">
        <v>304</v>
      </c>
    </row>
    <row r="261" spans="1:5" x14ac:dyDescent="0.25">
      <c r="A261">
        <v>-7.0179999999999998</v>
      </c>
      <c r="B261">
        <v>123.357</v>
      </c>
      <c r="C261">
        <v>648.5</v>
      </c>
      <c r="D261">
        <v>6.5</v>
      </c>
      <c r="E261" t="s">
        <v>1037</v>
      </c>
    </row>
    <row r="262" spans="1:5" x14ac:dyDescent="0.25">
      <c r="A262">
        <v>-7.1420000000000003</v>
      </c>
      <c r="B262">
        <v>123.434</v>
      </c>
      <c r="C262">
        <v>675.5</v>
      </c>
      <c r="D262">
        <v>4.5999999999999996</v>
      </c>
      <c r="E262" t="s">
        <v>37</v>
      </c>
    </row>
    <row r="263" spans="1:5" x14ac:dyDescent="0.25">
      <c r="A263">
        <v>-7.1130000000000004</v>
      </c>
      <c r="B263">
        <v>124.639</v>
      </c>
      <c r="C263">
        <v>580.1</v>
      </c>
      <c r="D263">
        <v>4.5</v>
      </c>
      <c r="E263" t="s">
        <v>1044</v>
      </c>
    </row>
    <row r="264" spans="1:5" x14ac:dyDescent="0.25">
      <c r="A264">
        <v>-5.7869999999999999</v>
      </c>
      <c r="B264">
        <v>123.309</v>
      </c>
      <c r="C264">
        <v>33</v>
      </c>
      <c r="D264">
        <v>5.2</v>
      </c>
      <c r="E264" t="s">
        <v>1048</v>
      </c>
    </row>
    <row r="265" spans="1:5" x14ac:dyDescent="0.25">
      <c r="A265">
        <v>-6.0309999999999997</v>
      </c>
      <c r="B265">
        <v>122.836</v>
      </c>
      <c r="C265">
        <v>10</v>
      </c>
      <c r="D265">
        <v>4.8</v>
      </c>
      <c r="E265" t="s">
        <v>1052</v>
      </c>
    </row>
    <row r="266" spans="1:5" x14ac:dyDescent="0.25">
      <c r="A266">
        <v>-7.3220000000000001</v>
      </c>
      <c r="B266">
        <v>120.65900000000001</v>
      </c>
      <c r="C266">
        <v>602.1</v>
      </c>
      <c r="D266">
        <v>4.5999999999999996</v>
      </c>
      <c r="E266" t="s">
        <v>1056</v>
      </c>
    </row>
    <row r="267" spans="1:5" x14ac:dyDescent="0.25">
      <c r="A267">
        <v>-7.1130000000000004</v>
      </c>
      <c r="B267">
        <v>124.82599999999999</v>
      </c>
      <c r="C267">
        <v>558.79999999999995</v>
      </c>
      <c r="D267">
        <v>4.8</v>
      </c>
      <c r="E267" t="s">
        <v>976</v>
      </c>
    </row>
    <row r="268" spans="1:5" x14ac:dyDescent="0.25">
      <c r="A268">
        <v>-7.27</v>
      </c>
      <c r="B268">
        <v>121.17100000000001</v>
      </c>
      <c r="C268">
        <v>541.5</v>
      </c>
      <c r="D268">
        <v>4.5</v>
      </c>
      <c r="E268" t="s">
        <v>1063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DBCB16-AFF9-4460-99DC-A94867D48367}">
  <dimension ref="A1:K268"/>
  <sheetViews>
    <sheetView tabSelected="1" zoomScaleNormal="100" workbookViewId="0">
      <selection activeCell="L2" sqref="L2"/>
    </sheetView>
  </sheetViews>
  <sheetFormatPr defaultRowHeight="13.8" x14ac:dyDescent="0.25"/>
  <cols>
    <col min="1" max="1" width="8.796875" style="1"/>
    <col min="2" max="3" width="23.5" style="1" customWidth="1"/>
    <col min="4" max="6" width="8.796875" style="1"/>
    <col min="7" max="7" width="8.796875" style="1" customWidth="1"/>
    <col min="8" max="8" width="34.296875" customWidth="1"/>
    <col min="9" max="11" width="16.8984375" customWidth="1"/>
  </cols>
  <sheetData>
    <row r="1" spans="1:11" s="1" customFormat="1" x14ac:dyDescent="0.25">
      <c r="A1" s="1" t="s">
        <v>2762</v>
      </c>
      <c r="B1" s="1" t="s">
        <v>2246</v>
      </c>
      <c r="C1" s="1" t="s">
        <v>2247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13</v>
      </c>
      <c r="I1" s="1" t="s">
        <v>2760</v>
      </c>
      <c r="J1" s="1" t="s">
        <v>2761</v>
      </c>
      <c r="K1" s="1" t="s">
        <v>2763</v>
      </c>
    </row>
    <row r="2" spans="1:11" x14ac:dyDescent="0.25">
      <c r="A2" s="1">
        <v>1</v>
      </c>
      <c r="B2" s="1" t="s">
        <v>2514</v>
      </c>
      <c r="C2" s="1" t="s">
        <v>2248</v>
      </c>
      <c r="D2" s="1">
        <v>-7.2910000000000004</v>
      </c>
      <c r="E2" s="1">
        <v>120.38500000000001</v>
      </c>
      <c r="F2" s="1">
        <v>631</v>
      </c>
      <c r="G2" s="1">
        <v>5.8</v>
      </c>
      <c r="H2" t="s">
        <v>27</v>
      </c>
      <c r="I2" s="1" t="str">
        <f>IF(AND(HOUR(C2)&gt;=6, HOUR(C2)&lt;=18),"กลางวัน","กลางคืน")</f>
        <v>กลางวัน</v>
      </c>
      <c r="J2" s="1" t="str">
        <f>IF(F2&lt;=10,"ตื้นมาก",IF(F2&lt;=30,"ตื้น",IF(F2&lt;70,"กลาง","ลึก")))</f>
        <v>ลึก</v>
      </c>
      <c r="K2">
        <f>F2*-1</f>
        <v>-631</v>
      </c>
    </row>
    <row r="3" spans="1:11" x14ac:dyDescent="0.25">
      <c r="A3" s="1">
        <v>2</v>
      </c>
      <c r="B3" s="1" t="s">
        <v>2515</v>
      </c>
      <c r="C3" s="1" t="s">
        <v>2249</v>
      </c>
      <c r="D3" s="1">
        <v>-7.4630000000000001</v>
      </c>
      <c r="E3" s="1">
        <v>122.11799999999999</v>
      </c>
      <c r="F3" s="1">
        <v>392</v>
      </c>
      <c r="G3" s="1">
        <v>5.4</v>
      </c>
      <c r="H3" t="s">
        <v>33</v>
      </c>
      <c r="I3" s="1" t="str">
        <f t="shared" ref="I3:I66" si="0">IF(AND(HOUR(C3)&gt;=6, HOUR(C3)&lt;=18),"กลางวัน","กลางคืน")</f>
        <v>กลางวัน</v>
      </c>
      <c r="J3" s="1" t="str">
        <f t="shared" ref="J3:J66" si="1">IF(F3&lt;=10,"ตื้นมาก",IF(F3&lt;=30,"ตื้น",IF(F3&lt;70,"กลาง","ลึก")))</f>
        <v>ลึก</v>
      </c>
      <c r="K3">
        <f t="shared" ref="K3:K66" si="2">F3*-1</f>
        <v>-392</v>
      </c>
    </row>
    <row r="4" spans="1:11" x14ac:dyDescent="0.25">
      <c r="A4" s="1">
        <v>3</v>
      </c>
      <c r="B4" s="1" t="s">
        <v>2516</v>
      </c>
      <c r="C4" s="1" t="s">
        <v>2250</v>
      </c>
      <c r="D4" s="1">
        <v>-6.0289999999999999</v>
      </c>
      <c r="E4" s="1">
        <v>124.68600000000001</v>
      </c>
      <c r="F4" s="1">
        <v>605</v>
      </c>
      <c r="G4" s="1">
        <v>5.5</v>
      </c>
      <c r="H4" t="s">
        <v>37</v>
      </c>
      <c r="I4" s="1" t="str">
        <f t="shared" si="0"/>
        <v>กลางวัน</v>
      </c>
      <c r="J4" s="1" t="str">
        <f t="shared" si="1"/>
        <v>ลึก</v>
      </c>
      <c r="K4">
        <f t="shared" si="2"/>
        <v>-605</v>
      </c>
    </row>
    <row r="5" spans="1:11" x14ac:dyDescent="0.25">
      <c r="A5" s="1">
        <v>4</v>
      </c>
      <c r="B5" s="1" t="s">
        <v>2517</v>
      </c>
      <c r="C5" s="1" t="s">
        <v>2251</v>
      </c>
      <c r="D5" s="1">
        <v>-7.0359999999999996</v>
      </c>
      <c r="E5" s="1">
        <v>124.749</v>
      </c>
      <c r="F5" s="1">
        <v>545</v>
      </c>
      <c r="G5" s="1">
        <v>5.3</v>
      </c>
      <c r="H5" t="s">
        <v>41</v>
      </c>
      <c r="I5" s="1" t="str">
        <f t="shared" si="0"/>
        <v>กลางคืน</v>
      </c>
      <c r="J5" s="1" t="str">
        <f t="shared" si="1"/>
        <v>ลึก</v>
      </c>
      <c r="K5">
        <f t="shared" si="2"/>
        <v>-545</v>
      </c>
    </row>
    <row r="6" spans="1:11" x14ac:dyDescent="0.25">
      <c r="A6" s="1">
        <v>5</v>
      </c>
      <c r="B6" s="1" t="s">
        <v>2518</v>
      </c>
      <c r="C6" s="1" t="s">
        <v>2252</v>
      </c>
      <c r="D6" s="1">
        <v>-7.3449999999999998</v>
      </c>
      <c r="E6" s="1">
        <v>120.251</v>
      </c>
      <c r="F6" s="1">
        <v>582</v>
      </c>
      <c r="G6" s="1">
        <v>5.0999999999999996</v>
      </c>
      <c r="H6" t="s">
        <v>45</v>
      </c>
      <c r="I6" s="1" t="str">
        <f t="shared" si="0"/>
        <v>กลางวัน</v>
      </c>
      <c r="J6" s="1" t="str">
        <f t="shared" si="1"/>
        <v>ลึก</v>
      </c>
      <c r="K6">
        <f t="shared" si="2"/>
        <v>-582</v>
      </c>
    </row>
    <row r="7" spans="1:11" x14ac:dyDescent="0.25">
      <c r="A7" s="1">
        <v>6</v>
      </c>
      <c r="B7" s="1" t="s">
        <v>2519</v>
      </c>
      <c r="C7" s="1" t="s">
        <v>2253</v>
      </c>
      <c r="D7" s="1">
        <v>-7.24</v>
      </c>
      <c r="E7" s="1">
        <v>120.21599999999999</v>
      </c>
      <c r="F7" s="1">
        <v>390</v>
      </c>
      <c r="G7" s="1">
        <v>5.4</v>
      </c>
      <c r="H7" t="s">
        <v>49</v>
      </c>
      <c r="I7" s="1" t="str">
        <f t="shared" si="0"/>
        <v>กลางคืน</v>
      </c>
      <c r="J7" s="1" t="str">
        <f t="shared" si="1"/>
        <v>ลึก</v>
      </c>
      <c r="K7">
        <f t="shared" si="2"/>
        <v>-390</v>
      </c>
    </row>
    <row r="8" spans="1:11" x14ac:dyDescent="0.25">
      <c r="A8" s="1">
        <v>7</v>
      </c>
      <c r="B8" s="1" t="s">
        <v>2520</v>
      </c>
      <c r="C8" s="1" t="s">
        <v>2254</v>
      </c>
      <c r="D8" s="1">
        <v>-7.3109999999999999</v>
      </c>
      <c r="E8" s="1">
        <v>120.548</v>
      </c>
      <c r="F8" s="1">
        <v>618</v>
      </c>
      <c r="G8" s="1">
        <v>4.8</v>
      </c>
      <c r="H8" t="s">
        <v>53</v>
      </c>
      <c r="I8" s="1" t="str">
        <f t="shared" si="0"/>
        <v>กลางวัน</v>
      </c>
      <c r="J8" s="1" t="str">
        <f t="shared" si="1"/>
        <v>ลึก</v>
      </c>
      <c r="K8">
        <f t="shared" si="2"/>
        <v>-618</v>
      </c>
    </row>
    <row r="9" spans="1:11" x14ac:dyDescent="0.25">
      <c r="A9" s="1">
        <v>8</v>
      </c>
      <c r="B9" s="1" t="s">
        <v>2521</v>
      </c>
      <c r="C9" s="1" t="s">
        <v>2255</v>
      </c>
      <c r="D9" s="1">
        <v>-7.3090000000000002</v>
      </c>
      <c r="E9" s="1">
        <v>120.17</v>
      </c>
      <c r="F9" s="1">
        <v>627</v>
      </c>
      <c r="G9" s="1">
        <v>5.3</v>
      </c>
      <c r="H9" t="s">
        <v>57</v>
      </c>
      <c r="I9" s="1" t="str">
        <f t="shared" si="0"/>
        <v>กลางคืน</v>
      </c>
      <c r="J9" s="1" t="str">
        <f t="shared" si="1"/>
        <v>ลึก</v>
      </c>
      <c r="K9">
        <f t="shared" si="2"/>
        <v>-627</v>
      </c>
    </row>
    <row r="10" spans="1:11" x14ac:dyDescent="0.25">
      <c r="A10" s="1">
        <v>9</v>
      </c>
      <c r="B10" s="1" t="s">
        <v>2522</v>
      </c>
      <c r="C10" s="1" t="s">
        <v>2256</v>
      </c>
      <c r="D10" s="1">
        <v>-6.9569999999999999</v>
      </c>
      <c r="E10" s="1">
        <v>124.616</v>
      </c>
      <c r="F10" s="1">
        <v>538</v>
      </c>
      <c r="G10" s="1">
        <v>5</v>
      </c>
      <c r="H10" t="s">
        <v>61</v>
      </c>
      <c r="I10" s="1" t="str">
        <f t="shared" si="0"/>
        <v>กลางวัน</v>
      </c>
      <c r="J10" s="1" t="str">
        <f t="shared" si="1"/>
        <v>ลึก</v>
      </c>
      <c r="K10">
        <f t="shared" si="2"/>
        <v>-538</v>
      </c>
    </row>
    <row r="11" spans="1:11" x14ac:dyDescent="0.25">
      <c r="A11" s="1">
        <v>10</v>
      </c>
      <c r="B11" s="1" t="s">
        <v>2523</v>
      </c>
      <c r="C11" s="1" t="s">
        <v>2257</v>
      </c>
      <c r="D11" s="1">
        <v>-7.2320000000000002</v>
      </c>
      <c r="E11" s="1">
        <v>120.44799999999999</v>
      </c>
      <c r="F11" s="1">
        <v>604</v>
      </c>
      <c r="G11" s="1">
        <v>4.7</v>
      </c>
      <c r="H11" t="s">
        <v>65</v>
      </c>
      <c r="I11" s="1" t="str">
        <f t="shared" si="0"/>
        <v>กลางคืน</v>
      </c>
      <c r="J11" s="1" t="str">
        <f t="shared" si="1"/>
        <v>ลึก</v>
      </c>
      <c r="K11">
        <f t="shared" si="2"/>
        <v>-604</v>
      </c>
    </row>
    <row r="12" spans="1:11" x14ac:dyDescent="0.25">
      <c r="A12" s="1">
        <v>11</v>
      </c>
      <c r="B12" s="1" t="s">
        <v>2524</v>
      </c>
      <c r="C12" s="1" t="s">
        <v>2258</v>
      </c>
      <c r="D12" s="1">
        <v>-7.2510000000000003</v>
      </c>
      <c r="E12" s="1">
        <v>120.499</v>
      </c>
      <c r="F12" s="1">
        <v>637</v>
      </c>
      <c r="G12" s="1">
        <v>5</v>
      </c>
      <c r="H12" t="s">
        <v>69</v>
      </c>
      <c r="I12" s="1" t="str">
        <f t="shared" si="0"/>
        <v>กลางคืน</v>
      </c>
      <c r="J12" s="1" t="str">
        <f t="shared" si="1"/>
        <v>ลึก</v>
      </c>
      <c r="K12">
        <f t="shared" si="2"/>
        <v>-637</v>
      </c>
    </row>
    <row r="13" spans="1:11" x14ac:dyDescent="0.25">
      <c r="A13" s="1">
        <v>12</v>
      </c>
      <c r="B13" s="1" t="s">
        <v>2525</v>
      </c>
      <c r="C13" s="1" t="s">
        <v>2259</v>
      </c>
      <c r="D13" s="1">
        <v>-7.5549999999999997</v>
      </c>
      <c r="E13" s="1">
        <v>120.283</v>
      </c>
      <c r="F13" s="1">
        <v>367</v>
      </c>
      <c r="G13" s="1">
        <v>5.0999999999999996</v>
      </c>
      <c r="H13" t="s">
        <v>73</v>
      </c>
      <c r="I13" s="1" t="str">
        <f t="shared" si="0"/>
        <v>กลางวัน</v>
      </c>
      <c r="J13" s="1" t="str">
        <f t="shared" si="1"/>
        <v>ลึก</v>
      </c>
      <c r="K13">
        <f t="shared" si="2"/>
        <v>-367</v>
      </c>
    </row>
    <row r="14" spans="1:11" x14ac:dyDescent="0.25">
      <c r="A14" s="1">
        <v>13</v>
      </c>
      <c r="B14" s="1" t="s">
        <v>2526</v>
      </c>
      <c r="C14" s="1" t="s">
        <v>2260</v>
      </c>
      <c r="D14" s="1">
        <v>-7.5209999999999999</v>
      </c>
      <c r="E14" s="1">
        <v>124.64700000000001</v>
      </c>
      <c r="F14" s="1">
        <v>359</v>
      </c>
      <c r="G14" s="1">
        <v>5.2</v>
      </c>
      <c r="H14" t="s">
        <v>77</v>
      </c>
      <c r="I14" s="1" t="str">
        <f t="shared" si="0"/>
        <v>กลางวัน</v>
      </c>
      <c r="J14" s="1" t="str">
        <f t="shared" si="1"/>
        <v>ลึก</v>
      </c>
      <c r="K14">
        <f t="shared" si="2"/>
        <v>-359</v>
      </c>
    </row>
    <row r="15" spans="1:11" x14ac:dyDescent="0.25">
      <c r="A15" s="1">
        <v>14</v>
      </c>
      <c r="B15" s="1" t="s">
        <v>2527</v>
      </c>
      <c r="C15" s="1" t="s">
        <v>2261</v>
      </c>
      <c r="D15" s="1">
        <v>-7.4470000000000001</v>
      </c>
      <c r="E15" s="1">
        <v>125.254</v>
      </c>
      <c r="F15" s="1">
        <v>50</v>
      </c>
      <c r="G15" s="1">
        <v>4.8</v>
      </c>
      <c r="H15" t="s">
        <v>81</v>
      </c>
      <c r="I15" s="1" t="str">
        <f t="shared" si="0"/>
        <v>กลางวัน</v>
      </c>
      <c r="J15" s="1" t="str">
        <f t="shared" si="1"/>
        <v>กลาง</v>
      </c>
      <c r="K15">
        <f t="shared" si="2"/>
        <v>-50</v>
      </c>
    </row>
    <row r="16" spans="1:11" x14ac:dyDescent="0.25">
      <c r="A16" s="1">
        <v>15</v>
      </c>
      <c r="B16" s="1" t="s">
        <v>2528</v>
      </c>
      <c r="C16" s="1" t="s">
        <v>2262</v>
      </c>
      <c r="D16" s="1">
        <v>-6.5330000000000004</v>
      </c>
      <c r="E16" s="1">
        <v>124.742</v>
      </c>
      <c r="F16" s="1">
        <v>606</v>
      </c>
      <c r="G16" s="1">
        <v>5</v>
      </c>
      <c r="H16" t="s">
        <v>85</v>
      </c>
      <c r="I16" s="1" t="str">
        <f t="shared" si="0"/>
        <v>กลางวัน</v>
      </c>
      <c r="J16" s="1" t="str">
        <f t="shared" si="1"/>
        <v>ลึก</v>
      </c>
      <c r="K16">
        <f t="shared" si="2"/>
        <v>-606</v>
      </c>
    </row>
    <row r="17" spans="1:11" x14ac:dyDescent="0.25">
      <c r="A17" s="1">
        <v>16</v>
      </c>
      <c r="B17" s="1" t="s">
        <v>2529</v>
      </c>
      <c r="C17" s="1" t="s">
        <v>2263</v>
      </c>
      <c r="D17" s="1">
        <v>-6.2850000000000001</v>
      </c>
      <c r="E17" s="1">
        <v>124.755</v>
      </c>
      <c r="F17" s="1">
        <v>576</v>
      </c>
      <c r="G17" s="1">
        <v>5.7</v>
      </c>
      <c r="H17" t="s">
        <v>89</v>
      </c>
      <c r="I17" s="1" t="str">
        <f t="shared" si="0"/>
        <v>กลางวัน</v>
      </c>
      <c r="J17" s="1" t="str">
        <f t="shared" si="1"/>
        <v>ลึก</v>
      </c>
      <c r="K17">
        <f t="shared" si="2"/>
        <v>-576</v>
      </c>
    </row>
    <row r="18" spans="1:11" x14ac:dyDescent="0.25">
      <c r="A18" s="1">
        <v>17</v>
      </c>
      <c r="B18" s="1" t="s">
        <v>2530</v>
      </c>
      <c r="C18" s="1" t="s">
        <v>2264</v>
      </c>
      <c r="D18" s="1">
        <v>-7.4779999999999998</v>
      </c>
      <c r="E18" s="1">
        <v>119.905</v>
      </c>
      <c r="F18" s="1">
        <v>614</v>
      </c>
      <c r="G18" s="1">
        <v>6.4</v>
      </c>
      <c r="H18" t="s">
        <v>93</v>
      </c>
      <c r="I18" s="1" t="str">
        <f t="shared" si="0"/>
        <v>กลางคืน</v>
      </c>
      <c r="J18" s="1" t="str">
        <f t="shared" si="1"/>
        <v>ลึก</v>
      </c>
      <c r="K18">
        <f t="shared" si="2"/>
        <v>-614</v>
      </c>
    </row>
    <row r="19" spans="1:11" x14ac:dyDescent="0.25">
      <c r="A19" s="1">
        <v>18</v>
      </c>
      <c r="B19" s="1" t="s">
        <v>2531</v>
      </c>
      <c r="C19" s="1" t="s">
        <v>2265</v>
      </c>
      <c r="D19" s="1">
        <v>-7.0590000000000002</v>
      </c>
      <c r="E19" s="1">
        <v>123.74299999999999</v>
      </c>
      <c r="F19" s="1">
        <v>611</v>
      </c>
      <c r="G19" s="1">
        <v>5.2</v>
      </c>
      <c r="H19" t="s">
        <v>97</v>
      </c>
      <c r="I19" s="1" t="str">
        <f t="shared" si="0"/>
        <v>กลางวัน</v>
      </c>
      <c r="J19" s="1" t="str">
        <f t="shared" si="1"/>
        <v>ลึก</v>
      </c>
      <c r="K19">
        <f t="shared" si="2"/>
        <v>-611</v>
      </c>
    </row>
    <row r="20" spans="1:11" x14ac:dyDescent="0.25">
      <c r="A20" s="1">
        <v>19</v>
      </c>
      <c r="B20" s="1" t="s">
        <v>2532</v>
      </c>
      <c r="C20" s="1" t="s">
        <v>2266</v>
      </c>
      <c r="D20" s="1">
        <v>-5.1890000000000001</v>
      </c>
      <c r="E20" s="1">
        <v>125.23099999999999</v>
      </c>
      <c r="F20" s="1">
        <v>33</v>
      </c>
      <c r="G20" s="1">
        <v>5.0999999999999996</v>
      </c>
      <c r="H20" t="s">
        <v>37</v>
      </c>
      <c r="I20" s="1" t="str">
        <f t="shared" si="0"/>
        <v>กลางวัน</v>
      </c>
      <c r="J20" s="1" t="str">
        <f t="shared" si="1"/>
        <v>กลาง</v>
      </c>
      <c r="K20">
        <f t="shared" si="2"/>
        <v>-33</v>
      </c>
    </row>
    <row r="21" spans="1:11" x14ac:dyDescent="0.25">
      <c r="A21" s="1">
        <v>20</v>
      </c>
      <c r="B21" s="1" t="s">
        <v>2533</v>
      </c>
      <c r="C21" s="1" t="s">
        <v>2267</v>
      </c>
      <c r="D21" s="1">
        <v>-7.0789999999999997</v>
      </c>
      <c r="E21" s="1">
        <v>123.815</v>
      </c>
      <c r="F21" s="1">
        <v>596</v>
      </c>
      <c r="G21" s="1">
        <v>4.7</v>
      </c>
      <c r="H21" t="s">
        <v>104</v>
      </c>
      <c r="I21" s="1" t="str">
        <f t="shared" si="0"/>
        <v>กลางวัน</v>
      </c>
      <c r="J21" s="1" t="str">
        <f t="shared" si="1"/>
        <v>ลึก</v>
      </c>
      <c r="K21">
        <f t="shared" si="2"/>
        <v>-596</v>
      </c>
    </row>
    <row r="22" spans="1:11" x14ac:dyDescent="0.25">
      <c r="A22" s="1">
        <v>21</v>
      </c>
      <c r="B22" s="1" t="s">
        <v>2534</v>
      </c>
      <c r="C22" s="1" t="s">
        <v>2268</v>
      </c>
      <c r="D22" s="1">
        <v>-7.27</v>
      </c>
      <c r="E22" s="1">
        <v>120.306</v>
      </c>
      <c r="F22" s="1">
        <v>562</v>
      </c>
      <c r="G22" s="1">
        <v>4.5</v>
      </c>
      <c r="H22" t="s">
        <v>49</v>
      </c>
      <c r="I22" s="1" t="str">
        <f t="shared" si="0"/>
        <v>กลางวัน</v>
      </c>
      <c r="J22" s="1" t="str">
        <f t="shared" si="1"/>
        <v>ลึก</v>
      </c>
      <c r="K22">
        <f t="shared" si="2"/>
        <v>-562</v>
      </c>
    </row>
    <row r="23" spans="1:11" x14ac:dyDescent="0.25">
      <c r="A23" s="1">
        <v>22</v>
      </c>
      <c r="B23" s="1" t="s">
        <v>2535</v>
      </c>
      <c r="C23" s="1" t="s">
        <v>2269</v>
      </c>
      <c r="D23" s="1">
        <v>-7.0549999999999997</v>
      </c>
      <c r="E23" s="1">
        <v>125.205</v>
      </c>
      <c r="F23" s="1">
        <v>522</v>
      </c>
      <c r="G23" s="1">
        <v>4.8</v>
      </c>
      <c r="H23" t="s">
        <v>111</v>
      </c>
      <c r="I23" s="1" t="str">
        <f t="shared" si="0"/>
        <v>กลางคืน</v>
      </c>
      <c r="J23" s="1" t="str">
        <f t="shared" si="1"/>
        <v>ลึก</v>
      </c>
      <c r="K23">
        <f t="shared" si="2"/>
        <v>-522</v>
      </c>
    </row>
    <row r="24" spans="1:11" x14ac:dyDescent="0.25">
      <c r="A24" s="1">
        <v>23</v>
      </c>
      <c r="B24" s="1" t="s">
        <v>2536</v>
      </c>
      <c r="C24" s="1" t="s">
        <v>2270</v>
      </c>
      <c r="D24" s="1">
        <v>-5.9820000000000002</v>
      </c>
      <c r="E24" s="1">
        <v>123.645</v>
      </c>
      <c r="F24" s="1">
        <v>43</v>
      </c>
      <c r="G24" s="1">
        <v>5</v>
      </c>
      <c r="H24" t="s">
        <v>115</v>
      </c>
      <c r="I24" s="1" t="str">
        <f t="shared" si="0"/>
        <v>กลางคืน</v>
      </c>
      <c r="J24" s="1" t="str">
        <f t="shared" si="1"/>
        <v>กลาง</v>
      </c>
      <c r="K24">
        <f t="shared" si="2"/>
        <v>-43</v>
      </c>
    </row>
    <row r="25" spans="1:11" x14ac:dyDescent="0.25">
      <c r="A25" s="1">
        <v>24</v>
      </c>
      <c r="B25" s="1" t="s">
        <v>2536</v>
      </c>
      <c r="C25" s="1" t="s">
        <v>2271</v>
      </c>
      <c r="D25" s="1">
        <v>-6.0549999999999997</v>
      </c>
      <c r="E25" s="1">
        <v>123.69</v>
      </c>
      <c r="F25" s="1">
        <v>24</v>
      </c>
      <c r="G25" s="1">
        <v>5.0999999999999996</v>
      </c>
      <c r="H25" t="s">
        <v>119</v>
      </c>
      <c r="I25" s="1" t="str">
        <f t="shared" si="0"/>
        <v>กลางวัน</v>
      </c>
      <c r="J25" s="1" t="str">
        <f t="shared" si="1"/>
        <v>ตื้น</v>
      </c>
      <c r="K25">
        <f t="shared" si="2"/>
        <v>-24</v>
      </c>
    </row>
    <row r="26" spans="1:11" x14ac:dyDescent="0.25">
      <c r="A26" s="1">
        <v>25</v>
      </c>
      <c r="B26" s="1" t="s">
        <v>2537</v>
      </c>
      <c r="C26" s="1" t="s">
        <v>2272</v>
      </c>
      <c r="D26" s="1">
        <v>-6.069</v>
      </c>
      <c r="E26" s="1">
        <v>125.18300000000001</v>
      </c>
      <c r="F26" s="1">
        <v>548</v>
      </c>
      <c r="G26" s="1">
        <v>4.8</v>
      </c>
      <c r="H26" t="s">
        <v>123</v>
      </c>
      <c r="I26" s="1" t="str">
        <f t="shared" si="0"/>
        <v>กลางวัน</v>
      </c>
      <c r="J26" s="1" t="str">
        <f t="shared" si="1"/>
        <v>ลึก</v>
      </c>
      <c r="K26">
        <f t="shared" si="2"/>
        <v>-548</v>
      </c>
    </row>
    <row r="27" spans="1:11" x14ac:dyDescent="0.25">
      <c r="A27" s="1">
        <v>26</v>
      </c>
      <c r="B27" s="1" t="s">
        <v>2538</v>
      </c>
      <c r="C27" s="1" t="s">
        <v>2273</v>
      </c>
      <c r="D27" s="1">
        <v>-4.9459999999999997</v>
      </c>
      <c r="E27" s="1">
        <v>125.247</v>
      </c>
      <c r="F27" s="1">
        <v>535</v>
      </c>
      <c r="G27" s="1">
        <v>5.9</v>
      </c>
      <c r="H27" t="s">
        <v>37</v>
      </c>
      <c r="I27" s="1" t="str">
        <f t="shared" si="0"/>
        <v>กลางวัน</v>
      </c>
      <c r="J27" s="1" t="str">
        <f t="shared" si="1"/>
        <v>ลึก</v>
      </c>
      <c r="K27">
        <f t="shared" si="2"/>
        <v>-535</v>
      </c>
    </row>
    <row r="28" spans="1:11" x14ac:dyDescent="0.25">
      <c r="A28" s="1">
        <v>27</v>
      </c>
      <c r="B28" s="1" t="s">
        <v>2538</v>
      </c>
      <c r="C28" s="1" t="s">
        <v>2274</v>
      </c>
      <c r="D28" s="1">
        <v>-4.9950000000000001</v>
      </c>
      <c r="E28" s="1">
        <v>125.23</v>
      </c>
      <c r="F28" s="1">
        <v>531</v>
      </c>
      <c r="G28" s="1">
        <v>5.6</v>
      </c>
      <c r="H28" t="s">
        <v>37</v>
      </c>
      <c r="I28" s="1" t="str">
        <f t="shared" si="0"/>
        <v>กลางวัน</v>
      </c>
      <c r="J28" s="1" t="str">
        <f t="shared" si="1"/>
        <v>ลึก</v>
      </c>
      <c r="K28">
        <f t="shared" si="2"/>
        <v>-531</v>
      </c>
    </row>
    <row r="29" spans="1:11" x14ac:dyDescent="0.25">
      <c r="A29" s="1">
        <v>28</v>
      </c>
      <c r="B29" s="1" t="s">
        <v>2539</v>
      </c>
      <c r="C29" s="1" t="s">
        <v>2275</v>
      </c>
      <c r="D29" s="1">
        <v>-7.08</v>
      </c>
      <c r="E29" s="1">
        <v>123.256</v>
      </c>
      <c r="F29" s="1">
        <v>556</v>
      </c>
      <c r="G29" s="1">
        <v>5</v>
      </c>
      <c r="H29" t="s">
        <v>133</v>
      </c>
      <c r="I29" s="1" t="str">
        <f t="shared" si="0"/>
        <v>กลางวัน</v>
      </c>
      <c r="J29" s="1" t="str">
        <f t="shared" si="1"/>
        <v>ลึก</v>
      </c>
      <c r="K29">
        <f t="shared" si="2"/>
        <v>-556</v>
      </c>
    </row>
    <row r="30" spans="1:11" x14ac:dyDescent="0.25">
      <c r="A30" s="1">
        <v>29</v>
      </c>
      <c r="B30" s="1" t="s">
        <v>2540</v>
      </c>
      <c r="C30" s="1" t="s">
        <v>2276</v>
      </c>
      <c r="D30" s="1">
        <v>-7.125</v>
      </c>
      <c r="E30" s="1">
        <v>123.815</v>
      </c>
      <c r="F30" s="1">
        <v>583</v>
      </c>
      <c r="G30" s="1">
        <v>4.9000000000000004</v>
      </c>
      <c r="H30" t="s">
        <v>137</v>
      </c>
      <c r="I30" s="1" t="str">
        <f t="shared" si="0"/>
        <v>กลางวัน</v>
      </c>
      <c r="J30" s="1" t="str">
        <f t="shared" si="1"/>
        <v>ลึก</v>
      </c>
      <c r="K30">
        <f t="shared" si="2"/>
        <v>-583</v>
      </c>
    </row>
    <row r="31" spans="1:11" x14ac:dyDescent="0.25">
      <c r="A31" s="1">
        <v>30</v>
      </c>
      <c r="B31" s="1" t="s">
        <v>2541</v>
      </c>
      <c r="C31" s="1" t="s">
        <v>2277</v>
      </c>
      <c r="D31" s="1">
        <v>-6.8529999999999998</v>
      </c>
      <c r="E31" s="1">
        <v>123.456</v>
      </c>
      <c r="F31" s="1">
        <v>646</v>
      </c>
      <c r="G31" s="1">
        <v>4.9000000000000004</v>
      </c>
      <c r="H31" t="s">
        <v>141</v>
      </c>
      <c r="I31" s="1" t="str">
        <f t="shared" si="0"/>
        <v>กลางคืน</v>
      </c>
      <c r="J31" s="1" t="str">
        <f t="shared" si="1"/>
        <v>ลึก</v>
      </c>
      <c r="K31">
        <f t="shared" si="2"/>
        <v>-646</v>
      </c>
    </row>
    <row r="32" spans="1:11" x14ac:dyDescent="0.25">
      <c r="A32" s="1">
        <v>31</v>
      </c>
      <c r="B32" s="1" t="s">
        <v>2542</v>
      </c>
      <c r="C32" s="1" t="s">
        <v>2278</v>
      </c>
      <c r="D32" s="1">
        <v>-6.0810000000000004</v>
      </c>
      <c r="E32" s="1">
        <v>122.914</v>
      </c>
      <c r="F32" s="1">
        <v>56</v>
      </c>
      <c r="G32" s="1">
        <v>5.4</v>
      </c>
      <c r="H32" t="s">
        <v>145</v>
      </c>
      <c r="I32" s="1" t="str">
        <f t="shared" si="0"/>
        <v>กลางคืน</v>
      </c>
      <c r="J32" s="1" t="str">
        <f t="shared" si="1"/>
        <v>กลาง</v>
      </c>
      <c r="K32">
        <f t="shared" si="2"/>
        <v>-56</v>
      </c>
    </row>
    <row r="33" spans="1:11" x14ac:dyDescent="0.25">
      <c r="A33" s="1">
        <v>32</v>
      </c>
      <c r="B33" s="1" t="s">
        <v>2543</v>
      </c>
      <c r="C33" s="1" t="s">
        <v>2279</v>
      </c>
      <c r="D33" s="1">
        <v>-7.29</v>
      </c>
      <c r="E33" s="1">
        <v>123.15</v>
      </c>
      <c r="F33" s="1">
        <v>578</v>
      </c>
      <c r="G33" s="1">
        <v>5.3</v>
      </c>
      <c r="H33" t="s">
        <v>149</v>
      </c>
      <c r="I33" s="1" t="str">
        <f t="shared" si="0"/>
        <v>กลางวัน</v>
      </c>
      <c r="J33" s="1" t="str">
        <f t="shared" si="1"/>
        <v>ลึก</v>
      </c>
      <c r="K33">
        <f t="shared" si="2"/>
        <v>-578</v>
      </c>
    </row>
    <row r="34" spans="1:11" x14ac:dyDescent="0.25">
      <c r="A34" s="1">
        <v>33</v>
      </c>
      <c r="B34" s="1" t="s">
        <v>2544</v>
      </c>
      <c r="C34" s="1" t="s">
        <v>2280</v>
      </c>
      <c r="D34" s="1">
        <v>-7.1929999999999996</v>
      </c>
      <c r="E34" s="1">
        <v>120.051</v>
      </c>
      <c r="F34" s="1">
        <v>557</v>
      </c>
      <c r="G34" s="1">
        <v>5.4</v>
      </c>
      <c r="H34" t="s">
        <v>153</v>
      </c>
      <c r="I34" s="1" t="str">
        <f t="shared" si="0"/>
        <v>กลางคืน</v>
      </c>
      <c r="J34" s="1" t="str">
        <f t="shared" si="1"/>
        <v>ลึก</v>
      </c>
      <c r="K34">
        <f t="shared" si="2"/>
        <v>-557</v>
      </c>
    </row>
    <row r="35" spans="1:11" x14ac:dyDescent="0.25">
      <c r="A35" s="1">
        <v>34</v>
      </c>
      <c r="B35" s="1" t="s">
        <v>2545</v>
      </c>
      <c r="C35" s="1" t="s">
        <v>2281</v>
      </c>
      <c r="D35" s="1">
        <v>-6.8490000000000002</v>
      </c>
      <c r="E35" s="1">
        <v>125.244</v>
      </c>
      <c r="F35" s="1">
        <v>529</v>
      </c>
      <c r="G35" s="1">
        <v>5</v>
      </c>
      <c r="H35" t="s">
        <v>157</v>
      </c>
      <c r="I35" s="1" t="str">
        <f t="shared" si="0"/>
        <v>กลางวัน</v>
      </c>
      <c r="J35" s="1" t="str">
        <f t="shared" si="1"/>
        <v>ลึก</v>
      </c>
      <c r="K35">
        <f t="shared" si="2"/>
        <v>-529</v>
      </c>
    </row>
    <row r="36" spans="1:11" x14ac:dyDescent="0.25">
      <c r="A36" s="1">
        <v>35</v>
      </c>
      <c r="B36" s="1" t="s">
        <v>2546</v>
      </c>
      <c r="C36" s="1" t="s">
        <v>2282</v>
      </c>
      <c r="D36" s="1">
        <v>-7.0149999999999997</v>
      </c>
      <c r="E36" s="1">
        <v>123.381</v>
      </c>
      <c r="F36" s="1">
        <v>642</v>
      </c>
      <c r="G36" s="1">
        <v>5.2</v>
      </c>
      <c r="H36" t="s">
        <v>161</v>
      </c>
      <c r="I36" s="1" t="str">
        <f t="shared" si="0"/>
        <v>กลางคืน</v>
      </c>
      <c r="J36" s="1" t="str">
        <f t="shared" si="1"/>
        <v>ลึก</v>
      </c>
      <c r="K36">
        <f t="shared" si="2"/>
        <v>-642</v>
      </c>
    </row>
    <row r="37" spans="1:11" x14ac:dyDescent="0.25">
      <c r="A37" s="1">
        <v>36</v>
      </c>
      <c r="B37" s="1" t="s">
        <v>2547</v>
      </c>
      <c r="C37" s="1" t="s">
        <v>2283</v>
      </c>
      <c r="D37" s="1">
        <v>-5.7629999999999999</v>
      </c>
      <c r="E37" s="1">
        <v>122.76300000000001</v>
      </c>
      <c r="F37" s="1">
        <v>66</v>
      </c>
      <c r="G37" s="1">
        <v>4.7</v>
      </c>
      <c r="H37" t="s">
        <v>165</v>
      </c>
      <c r="I37" s="1" t="str">
        <f t="shared" si="0"/>
        <v>กลางคืน</v>
      </c>
      <c r="J37" s="1" t="str">
        <f t="shared" si="1"/>
        <v>กลาง</v>
      </c>
      <c r="K37">
        <f t="shared" si="2"/>
        <v>-66</v>
      </c>
    </row>
    <row r="38" spans="1:11" x14ac:dyDescent="0.25">
      <c r="A38" s="1">
        <v>37</v>
      </c>
      <c r="B38" s="1" t="s">
        <v>2548</v>
      </c>
      <c r="C38" s="1" t="s">
        <v>2284</v>
      </c>
      <c r="D38" s="1">
        <v>-6.1449999999999996</v>
      </c>
      <c r="E38" s="1">
        <v>124.89700000000001</v>
      </c>
      <c r="F38" s="1">
        <v>615</v>
      </c>
      <c r="G38" s="1">
        <v>5.2</v>
      </c>
      <c r="H38" t="s">
        <v>169</v>
      </c>
      <c r="I38" s="1" t="str">
        <f t="shared" si="0"/>
        <v>กลางคืน</v>
      </c>
      <c r="J38" s="1" t="str">
        <f t="shared" si="1"/>
        <v>ลึก</v>
      </c>
      <c r="K38">
        <f t="shared" si="2"/>
        <v>-615</v>
      </c>
    </row>
    <row r="39" spans="1:11" x14ac:dyDescent="0.25">
      <c r="A39" s="1">
        <v>38</v>
      </c>
      <c r="B39" s="1" t="s">
        <v>2549</v>
      </c>
      <c r="C39" s="1" t="s">
        <v>2285</v>
      </c>
      <c r="D39" s="1">
        <v>-6.8810000000000002</v>
      </c>
      <c r="E39" s="1">
        <v>124.94</v>
      </c>
      <c r="F39" s="1">
        <v>555</v>
      </c>
      <c r="G39" s="1">
        <v>4.9000000000000004</v>
      </c>
      <c r="H39" t="s">
        <v>173</v>
      </c>
      <c r="I39" s="1" t="str">
        <f t="shared" si="0"/>
        <v>กลางวัน</v>
      </c>
      <c r="J39" s="1" t="str">
        <f t="shared" si="1"/>
        <v>ลึก</v>
      </c>
      <c r="K39">
        <f t="shared" si="2"/>
        <v>-555</v>
      </c>
    </row>
    <row r="40" spans="1:11" x14ac:dyDescent="0.25">
      <c r="A40" s="1">
        <v>39</v>
      </c>
      <c r="B40" s="1" t="s">
        <v>2550</v>
      </c>
      <c r="C40" s="1" t="s">
        <v>2286</v>
      </c>
      <c r="D40" s="1">
        <v>-7.21</v>
      </c>
      <c r="E40" s="1">
        <v>120.309</v>
      </c>
      <c r="F40" s="1">
        <v>567</v>
      </c>
      <c r="G40" s="1">
        <v>4.8</v>
      </c>
      <c r="H40" t="s">
        <v>177</v>
      </c>
      <c r="I40" s="1" t="str">
        <f t="shared" si="0"/>
        <v>กลางคืน</v>
      </c>
      <c r="J40" s="1" t="str">
        <f t="shared" si="1"/>
        <v>ลึก</v>
      </c>
      <c r="K40">
        <f t="shared" si="2"/>
        <v>-567</v>
      </c>
    </row>
    <row r="41" spans="1:11" x14ac:dyDescent="0.25">
      <c r="A41" s="1">
        <v>40</v>
      </c>
      <c r="B41" s="1" t="s">
        <v>2551</v>
      </c>
      <c r="C41" s="1" t="s">
        <v>2287</v>
      </c>
      <c r="D41" s="1">
        <v>-7.1829999999999998</v>
      </c>
      <c r="E41" s="1">
        <v>123.092</v>
      </c>
      <c r="F41" s="1">
        <v>616</v>
      </c>
      <c r="G41" s="1">
        <v>4.5</v>
      </c>
      <c r="H41" t="s">
        <v>181</v>
      </c>
      <c r="I41" s="1" t="str">
        <f t="shared" si="0"/>
        <v>กลางคืน</v>
      </c>
      <c r="J41" s="1" t="str">
        <f t="shared" si="1"/>
        <v>ลึก</v>
      </c>
      <c r="K41">
        <f t="shared" si="2"/>
        <v>-616</v>
      </c>
    </row>
    <row r="42" spans="1:11" x14ac:dyDescent="0.25">
      <c r="A42" s="1">
        <v>41</v>
      </c>
      <c r="B42" s="1" t="s">
        <v>2552</v>
      </c>
      <c r="C42" s="1" t="s">
        <v>2288</v>
      </c>
      <c r="D42" s="1">
        <v>-7.3719999999999999</v>
      </c>
      <c r="E42" s="1">
        <v>120.40900000000001</v>
      </c>
      <c r="F42" s="1">
        <v>600</v>
      </c>
      <c r="G42" s="1">
        <v>5</v>
      </c>
      <c r="H42" t="s">
        <v>185</v>
      </c>
      <c r="I42" s="1" t="str">
        <f t="shared" si="0"/>
        <v>กลางวัน</v>
      </c>
      <c r="J42" s="1" t="str">
        <f t="shared" si="1"/>
        <v>ลึก</v>
      </c>
      <c r="K42">
        <f t="shared" si="2"/>
        <v>-600</v>
      </c>
    </row>
    <row r="43" spans="1:11" x14ac:dyDescent="0.25">
      <c r="A43" s="1">
        <v>42</v>
      </c>
      <c r="B43" s="1" t="s">
        <v>2553</v>
      </c>
      <c r="C43" s="1" t="s">
        <v>2289</v>
      </c>
      <c r="D43" s="1">
        <v>-6.8650000000000002</v>
      </c>
      <c r="E43" s="1">
        <v>124.858</v>
      </c>
      <c r="F43" s="1">
        <v>573</v>
      </c>
      <c r="G43" s="1">
        <v>4.9000000000000004</v>
      </c>
      <c r="H43" t="s">
        <v>189</v>
      </c>
      <c r="I43" s="1" t="str">
        <f t="shared" si="0"/>
        <v>กลางคืน</v>
      </c>
      <c r="J43" s="1" t="str">
        <f t="shared" si="1"/>
        <v>ลึก</v>
      </c>
      <c r="K43">
        <f t="shared" si="2"/>
        <v>-573</v>
      </c>
    </row>
    <row r="44" spans="1:11" x14ac:dyDescent="0.25">
      <c r="A44" s="1">
        <v>43</v>
      </c>
      <c r="B44" s="1" t="s">
        <v>2553</v>
      </c>
      <c r="C44" s="1" t="s">
        <v>2290</v>
      </c>
      <c r="D44" s="1">
        <v>-7.5</v>
      </c>
      <c r="E44" s="1">
        <v>122.14700000000001</v>
      </c>
      <c r="F44" s="1">
        <v>170</v>
      </c>
      <c r="G44" s="1">
        <v>4.5</v>
      </c>
      <c r="H44" t="s">
        <v>193</v>
      </c>
      <c r="I44" s="1" t="str">
        <f t="shared" si="0"/>
        <v>กลางวัน</v>
      </c>
      <c r="J44" s="1" t="str">
        <f t="shared" si="1"/>
        <v>ลึก</v>
      </c>
      <c r="K44">
        <f t="shared" si="2"/>
        <v>-170</v>
      </c>
    </row>
    <row r="45" spans="1:11" x14ac:dyDescent="0.25">
      <c r="A45" s="1">
        <v>44</v>
      </c>
      <c r="B45" s="1" t="s">
        <v>2554</v>
      </c>
      <c r="C45" s="1" t="s">
        <v>2291</v>
      </c>
      <c r="D45" s="1">
        <v>-7.1040000000000001</v>
      </c>
      <c r="E45" s="1">
        <v>124.973</v>
      </c>
      <c r="F45" s="1">
        <v>558</v>
      </c>
      <c r="G45" s="1">
        <v>5</v>
      </c>
      <c r="H45" t="s">
        <v>197</v>
      </c>
      <c r="I45" s="1" t="str">
        <f t="shared" si="0"/>
        <v>กลางวัน</v>
      </c>
      <c r="J45" s="1" t="str">
        <f t="shared" si="1"/>
        <v>ลึก</v>
      </c>
      <c r="K45">
        <f t="shared" si="2"/>
        <v>-558</v>
      </c>
    </row>
    <row r="46" spans="1:11" x14ac:dyDescent="0.25">
      <c r="A46" s="1">
        <v>45</v>
      </c>
      <c r="B46" s="1" t="s">
        <v>2555</v>
      </c>
      <c r="C46" s="1" t="s">
        <v>2292</v>
      </c>
      <c r="D46" s="1">
        <v>-7.327</v>
      </c>
      <c r="E46" s="1">
        <v>122.211</v>
      </c>
      <c r="F46" s="1">
        <v>632</v>
      </c>
      <c r="G46" s="1">
        <v>4.8</v>
      </c>
      <c r="H46" t="s">
        <v>201</v>
      </c>
      <c r="I46" s="1" t="str">
        <f t="shared" si="0"/>
        <v>กลางวัน</v>
      </c>
      <c r="J46" s="1" t="str">
        <f t="shared" si="1"/>
        <v>ลึก</v>
      </c>
      <c r="K46">
        <f t="shared" si="2"/>
        <v>-632</v>
      </c>
    </row>
    <row r="47" spans="1:11" x14ac:dyDescent="0.25">
      <c r="A47" s="1">
        <v>46</v>
      </c>
      <c r="B47" s="1" t="s">
        <v>2556</v>
      </c>
      <c r="C47" s="1" t="s">
        <v>2293</v>
      </c>
      <c r="D47" s="1">
        <v>-7.2149999999999999</v>
      </c>
      <c r="E47" s="1">
        <v>124.788</v>
      </c>
      <c r="F47" s="1">
        <v>514</v>
      </c>
      <c r="G47" s="1">
        <v>5.0999999999999996</v>
      </c>
      <c r="H47" t="s">
        <v>205</v>
      </c>
      <c r="I47" s="1" t="str">
        <f t="shared" si="0"/>
        <v>กลางวัน</v>
      </c>
      <c r="J47" s="1" t="str">
        <f t="shared" si="1"/>
        <v>ลึก</v>
      </c>
      <c r="K47">
        <f t="shared" si="2"/>
        <v>-514</v>
      </c>
    </row>
    <row r="48" spans="1:11" x14ac:dyDescent="0.25">
      <c r="A48" s="1">
        <v>47</v>
      </c>
      <c r="B48" s="1" t="s">
        <v>2557</v>
      </c>
      <c r="C48" s="1" t="s">
        <v>2294</v>
      </c>
      <c r="D48" s="1">
        <v>-7.2249999999999996</v>
      </c>
      <c r="E48" s="1">
        <v>122.10299999999999</v>
      </c>
      <c r="F48" s="1">
        <v>517</v>
      </c>
      <c r="G48" s="1">
        <v>4.9000000000000004</v>
      </c>
      <c r="H48" t="s">
        <v>209</v>
      </c>
      <c r="I48" s="1" t="str">
        <f t="shared" si="0"/>
        <v>กลางคืน</v>
      </c>
      <c r="J48" s="1" t="str">
        <f t="shared" si="1"/>
        <v>ลึก</v>
      </c>
      <c r="K48">
        <f t="shared" si="2"/>
        <v>-517</v>
      </c>
    </row>
    <row r="49" spans="1:11" x14ac:dyDescent="0.25">
      <c r="A49" s="1">
        <v>48</v>
      </c>
      <c r="B49" s="1" t="s">
        <v>2558</v>
      </c>
      <c r="C49" s="1" t="s">
        <v>2295</v>
      </c>
      <c r="D49" s="1">
        <v>-7.2990000000000004</v>
      </c>
      <c r="E49" s="1">
        <v>123.191</v>
      </c>
      <c r="F49" s="1">
        <v>592</v>
      </c>
      <c r="G49" s="1">
        <v>5.2</v>
      </c>
      <c r="H49" t="s">
        <v>213</v>
      </c>
      <c r="I49" s="1" t="str">
        <f t="shared" si="0"/>
        <v>กลางคืน</v>
      </c>
      <c r="J49" s="1" t="str">
        <f t="shared" si="1"/>
        <v>ลึก</v>
      </c>
      <c r="K49">
        <f t="shared" si="2"/>
        <v>-592</v>
      </c>
    </row>
    <row r="50" spans="1:11" x14ac:dyDescent="0.25">
      <c r="A50" s="1">
        <v>49</v>
      </c>
      <c r="B50" s="1" t="s">
        <v>2559</v>
      </c>
      <c r="C50" s="1" t="s">
        <v>2296</v>
      </c>
      <c r="D50" s="1">
        <v>-7.1989999999999998</v>
      </c>
      <c r="E50" s="1">
        <v>124.753</v>
      </c>
      <c r="F50" s="1">
        <v>508</v>
      </c>
      <c r="G50" s="1">
        <v>4.9000000000000004</v>
      </c>
      <c r="H50" t="s">
        <v>217</v>
      </c>
      <c r="I50" s="1" t="str">
        <f t="shared" si="0"/>
        <v>กลางคืน</v>
      </c>
      <c r="J50" s="1" t="str">
        <f t="shared" si="1"/>
        <v>ลึก</v>
      </c>
      <c r="K50">
        <f t="shared" si="2"/>
        <v>-508</v>
      </c>
    </row>
    <row r="51" spans="1:11" x14ac:dyDescent="0.25">
      <c r="A51" s="1">
        <v>50</v>
      </c>
      <c r="B51" s="1" t="s">
        <v>2560</v>
      </c>
      <c r="C51" s="1" t="s">
        <v>2297</v>
      </c>
      <c r="D51" s="1">
        <v>-7.2030000000000003</v>
      </c>
      <c r="E51" s="1">
        <v>120.336</v>
      </c>
      <c r="F51" s="1">
        <v>593.70000000000005</v>
      </c>
      <c r="G51" s="1">
        <v>4.5999999999999996</v>
      </c>
      <c r="H51" t="s">
        <v>221</v>
      </c>
      <c r="I51" s="1" t="str">
        <f t="shared" si="0"/>
        <v>กลางวัน</v>
      </c>
      <c r="J51" s="1" t="str">
        <f t="shared" si="1"/>
        <v>ลึก</v>
      </c>
      <c r="K51">
        <f t="shared" si="2"/>
        <v>-593.70000000000005</v>
      </c>
    </row>
    <row r="52" spans="1:11" x14ac:dyDescent="0.25">
      <c r="A52" s="1">
        <v>51</v>
      </c>
      <c r="B52" s="1" t="s">
        <v>2561</v>
      </c>
      <c r="C52" s="1" t="s">
        <v>2298</v>
      </c>
      <c r="D52" s="1">
        <v>-6.9470000000000001</v>
      </c>
      <c r="E52" s="1">
        <v>123.22499999999999</v>
      </c>
      <c r="F52" s="1">
        <v>648.4</v>
      </c>
      <c r="G52" s="1">
        <v>5.0999999999999996</v>
      </c>
      <c r="H52" t="s">
        <v>225</v>
      </c>
      <c r="I52" s="1" t="str">
        <f t="shared" si="0"/>
        <v>กลางวัน</v>
      </c>
      <c r="J52" s="1" t="str">
        <f t="shared" si="1"/>
        <v>ลึก</v>
      </c>
      <c r="K52">
        <f t="shared" si="2"/>
        <v>-648.4</v>
      </c>
    </row>
    <row r="53" spans="1:11" x14ac:dyDescent="0.25">
      <c r="A53" s="1">
        <v>52</v>
      </c>
      <c r="B53" s="1" t="s">
        <v>2562</v>
      </c>
      <c r="C53" s="1" t="s">
        <v>2299</v>
      </c>
      <c r="D53" s="1">
        <v>-7.4790000000000001</v>
      </c>
      <c r="E53" s="1">
        <v>120.211</v>
      </c>
      <c r="F53" s="1">
        <v>556.79999999999995</v>
      </c>
      <c r="G53" s="1">
        <v>4.9000000000000004</v>
      </c>
      <c r="H53" t="s">
        <v>229</v>
      </c>
      <c r="I53" s="1" t="str">
        <f t="shared" si="0"/>
        <v>กลางคืน</v>
      </c>
      <c r="J53" s="1" t="str">
        <f t="shared" si="1"/>
        <v>ลึก</v>
      </c>
      <c r="K53">
        <f t="shared" si="2"/>
        <v>-556.79999999999995</v>
      </c>
    </row>
    <row r="54" spans="1:11" x14ac:dyDescent="0.25">
      <c r="A54" s="1">
        <v>53</v>
      </c>
      <c r="B54" s="1" t="s">
        <v>2563</v>
      </c>
      <c r="C54" s="1" t="s">
        <v>2300</v>
      </c>
      <c r="D54" s="1">
        <v>-7.0469999999999997</v>
      </c>
      <c r="E54" s="1">
        <v>125.22</v>
      </c>
      <c r="F54" s="1">
        <v>529.4</v>
      </c>
      <c r="G54" s="1">
        <v>5.0999999999999996</v>
      </c>
      <c r="H54" t="s">
        <v>111</v>
      </c>
      <c r="I54" s="1" t="str">
        <f t="shared" si="0"/>
        <v>กลางวัน</v>
      </c>
      <c r="J54" s="1" t="str">
        <f t="shared" si="1"/>
        <v>ลึก</v>
      </c>
      <c r="K54">
        <f t="shared" si="2"/>
        <v>-529.4</v>
      </c>
    </row>
    <row r="55" spans="1:11" x14ac:dyDescent="0.25">
      <c r="A55" s="1">
        <v>54</v>
      </c>
      <c r="B55" s="1" t="s">
        <v>2564</v>
      </c>
      <c r="C55" s="1" t="s">
        <v>2301</v>
      </c>
      <c r="D55" s="1">
        <v>-7.2910000000000004</v>
      </c>
      <c r="E55" s="1">
        <v>120.31</v>
      </c>
      <c r="F55" s="1">
        <v>572.5</v>
      </c>
      <c r="G55" s="1">
        <v>5.5</v>
      </c>
      <c r="H55" t="s">
        <v>236</v>
      </c>
      <c r="I55" s="1" t="str">
        <f t="shared" si="0"/>
        <v>กลางวัน</v>
      </c>
      <c r="J55" s="1" t="str">
        <f t="shared" si="1"/>
        <v>ลึก</v>
      </c>
      <c r="K55">
        <f t="shared" si="2"/>
        <v>-572.5</v>
      </c>
    </row>
    <row r="56" spans="1:11" x14ac:dyDescent="0.25">
      <c r="A56" s="1">
        <v>55</v>
      </c>
      <c r="B56" s="1" t="s">
        <v>2565</v>
      </c>
      <c r="C56" s="1" t="s">
        <v>2302</v>
      </c>
      <c r="D56" s="1">
        <v>-7.242</v>
      </c>
      <c r="E56" s="1">
        <v>123.066</v>
      </c>
      <c r="F56" s="1">
        <v>555.29999999999995</v>
      </c>
      <c r="G56" s="1">
        <v>4.8</v>
      </c>
      <c r="H56" t="s">
        <v>240</v>
      </c>
      <c r="I56" s="1" t="str">
        <f t="shared" si="0"/>
        <v>กลางวัน</v>
      </c>
      <c r="J56" s="1" t="str">
        <f t="shared" si="1"/>
        <v>ลึก</v>
      </c>
      <c r="K56">
        <f t="shared" si="2"/>
        <v>-555.29999999999995</v>
      </c>
    </row>
    <row r="57" spans="1:11" x14ac:dyDescent="0.25">
      <c r="A57" s="1">
        <v>56</v>
      </c>
      <c r="B57" s="1" t="s">
        <v>2566</v>
      </c>
      <c r="C57" s="1" t="s">
        <v>2303</v>
      </c>
      <c r="D57" s="1">
        <v>-7.3789999999999996</v>
      </c>
      <c r="E57" s="1">
        <v>123.749</v>
      </c>
      <c r="F57" s="1">
        <v>570.79999999999995</v>
      </c>
      <c r="G57" s="1">
        <v>5.3</v>
      </c>
      <c r="H57" t="s">
        <v>244</v>
      </c>
      <c r="I57" s="1" t="str">
        <f t="shared" si="0"/>
        <v>กลางวัน</v>
      </c>
      <c r="J57" s="1" t="str">
        <f t="shared" si="1"/>
        <v>ลึก</v>
      </c>
      <c r="K57">
        <f t="shared" si="2"/>
        <v>-570.79999999999995</v>
      </c>
    </row>
    <row r="58" spans="1:11" x14ac:dyDescent="0.25">
      <c r="A58" s="1">
        <v>57</v>
      </c>
      <c r="B58" s="1" t="s">
        <v>2567</v>
      </c>
      <c r="C58" s="1" t="s">
        <v>2304</v>
      </c>
      <c r="D58" s="1">
        <v>-6.6159999999999997</v>
      </c>
      <c r="E58" s="1">
        <v>123.34699999999999</v>
      </c>
      <c r="F58" s="1">
        <v>223.2</v>
      </c>
      <c r="G58" s="1">
        <v>5</v>
      </c>
      <c r="H58" t="s">
        <v>248</v>
      </c>
      <c r="I58" s="1" t="str">
        <f t="shared" si="0"/>
        <v>กลางคืน</v>
      </c>
      <c r="J58" s="1" t="str">
        <f t="shared" si="1"/>
        <v>ลึก</v>
      </c>
      <c r="K58">
        <f t="shared" si="2"/>
        <v>-223.2</v>
      </c>
    </row>
    <row r="59" spans="1:11" x14ac:dyDescent="0.25">
      <c r="A59" s="1">
        <v>58</v>
      </c>
      <c r="B59" s="1" t="s">
        <v>2568</v>
      </c>
      <c r="C59" s="1" t="s">
        <v>2305</v>
      </c>
      <c r="D59" s="1">
        <v>-7.0949999999999998</v>
      </c>
      <c r="E59" s="1">
        <v>123.785</v>
      </c>
      <c r="F59" s="1">
        <v>594.70000000000005</v>
      </c>
      <c r="G59" s="1">
        <v>5.0999999999999996</v>
      </c>
      <c r="H59" t="s">
        <v>252</v>
      </c>
      <c r="I59" s="1" t="str">
        <f t="shared" si="0"/>
        <v>กลางวัน</v>
      </c>
      <c r="J59" s="1" t="str">
        <f t="shared" si="1"/>
        <v>ลึก</v>
      </c>
      <c r="K59">
        <f t="shared" si="2"/>
        <v>-594.70000000000005</v>
      </c>
    </row>
    <row r="60" spans="1:11" x14ac:dyDescent="0.25">
      <c r="A60" s="1">
        <v>59</v>
      </c>
      <c r="B60" s="1" t="s">
        <v>2569</v>
      </c>
      <c r="C60" s="1" t="s">
        <v>2306</v>
      </c>
      <c r="D60" s="1">
        <v>-7.4039999999999999</v>
      </c>
      <c r="E60" s="1">
        <v>120.30200000000001</v>
      </c>
      <c r="F60" s="1">
        <v>569.79999999999995</v>
      </c>
      <c r="G60" s="1">
        <v>5.2</v>
      </c>
      <c r="H60" t="s">
        <v>256</v>
      </c>
      <c r="I60" s="1" t="str">
        <f t="shared" si="0"/>
        <v>กลางคืน</v>
      </c>
      <c r="J60" s="1" t="str">
        <f t="shared" si="1"/>
        <v>ลึก</v>
      </c>
      <c r="K60">
        <f t="shared" si="2"/>
        <v>-569.79999999999995</v>
      </c>
    </row>
    <row r="61" spans="1:11" x14ac:dyDescent="0.25">
      <c r="A61" s="1">
        <v>60</v>
      </c>
      <c r="B61" s="1" t="s">
        <v>2570</v>
      </c>
      <c r="C61" s="1" t="s">
        <v>2307</v>
      </c>
      <c r="D61" s="1">
        <v>-6.827</v>
      </c>
      <c r="E61" s="1">
        <v>125.134</v>
      </c>
      <c r="F61" s="1">
        <v>557</v>
      </c>
      <c r="G61" s="1">
        <v>4.7</v>
      </c>
      <c r="H61" t="s">
        <v>260</v>
      </c>
      <c r="I61" s="1" t="str">
        <f t="shared" si="0"/>
        <v>กลางคืน</v>
      </c>
      <c r="J61" s="1" t="str">
        <f t="shared" si="1"/>
        <v>ลึก</v>
      </c>
      <c r="K61">
        <f t="shared" si="2"/>
        <v>-557</v>
      </c>
    </row>
    <row r="62" spans="1:11" x14ac:dyDescent="0.25">
      <c r="A62" s="1">
        <v>61</v>
      </c>
      <c r="B62" s="1" t="s">
        <v>2571</v>
      </c>
      <c r="C62" s="1" t="s">
        <v>2308</v>
      </c>
      <c r="D62" s="1">
        <v>-7.2009999999999996</v>
      </c>
      <c r="E62" s="1">
        <v>120.358</v>
      </c>
      <c r="F62" s="1">
        <v>33</v>
      </c>
      <c r="G62" s="1">
        <v>4.8</v>
      </c>
      <c r="H62" t="s">
        <v>264</v>
      </c>
      <c r="I62" s="1" t="str">
        <f t="shared" si="0"/>
        <v>กลางวัน</v>
      </c>
      <c r="J62" s="1" t="str">
        <f t="shared" si="1"/>
        <v>กลาง</v>
      </c>
      <c r="K62">
        <f t="shared" si="2"/>
        <v>-33</v>
      </c>
    </row>
    <row r="63" spans="1:11" x14ac:dyDescent="0.25">
      <c r="A63" s="1">
        <v>62</v>
      </c>
      <c r="B63" s="1" t="s">
        <v>2572</v>
      </c>
      <c r="C63" s="1" t="s">
        <v>2309</v>
      </c>
      <c r="D63" s="1">
        <v>-7.2910000000000004</v>
      </c>
      <c r="E63" s="1">
        <v>124.759</v>
      </c>
      <c r="F63" s="1">
        <v>524</v>
      </c>
      <c r="G63" s="1">
        <v>4.5999999999999996</v>
      </c>
      <c r="H63" t="s">
        <v>268</v>
      </c>
      <c r="I63" s="1" t="str">
        <f t="shared" si="0"/>
        <v>กลางวัน</v>
      </c>
      <c r="J63" s="1" t="str">
        <f t="shared" si="1"/>
        <v>ลึก</v>
      </c>
      <c r="K63">
        <f t="shared" si="2"/>
        <v>-524</v>
      </c>
    </row>
    <row r="64" spans="1:11" x14ac:dyDescent="0.25">
      <c r="A64" s="1">
        <v>63</v>
      </c>
      <c r="B64" s="1" t="s">
        <v>2573</v>
      </c>
      <c r="C64" s="1" t="s">
        <v>2310</v>
      </c>
      <c r="D64" s="1">
        <v>-7.3220000000000001</v>
      </c>
      <c r="E64" s="1">
        <v>119.70699999999999</v>
      </c>
      <c r="F64" s="1">
        <v>575.29999999999995</v>
      </c>
      <c r="G64" s="1">
        <v>5</v>
      </c>
      <c r="H64" t="s">
        <v>272</v>
      </c>
      <c r="I64" s="1" t="str">
        <f t="shared" si="0"/>
        <v>กลางคืน</v>
      </c>
      <c r="J64" s="1" t="str">
        <f t="shared" si="1"/>
        <v>ลึก</v>
      </c>
      <c r="K64">
        <f t="shared" si="2"/>
        <v>-575.29999999999995</v>
      </c>
    </row>
    <row r="65" spans="1:11" x14ac:dyDescent="0.25">
      <c r="A65" s="1">
        <v>64</v>
      </c>
      <c r="B65" s="1" t="s">
        <v>2573</v>
      </c>
      <c r="C65" s="1" t="s">
        <v>2311</v>
      </c>
      <c r="D65" s="1">
        <v>-7.3680000000000003</v>
      </c>
      <c r="E65" s="1">
        <v>119.54300000000001</v>
      </c>
      <c r="F65" s="1">
        <v>574</v>
      </c>
      <c r="G65" s="1">
        <v>4.5</v>
      </c>
      <c r="H65" t="s">
        <v>276</v>
      </c>
      <c r="I65" s="1" t="str">
        <f t="shared" si="0"/>
        <v>กลางคืน</v>
      </c>
      <c r="J65" s="1" t="str">
        <f t="shared" si="1"/>
        <v>ลึก</v>
      </c>
      <c r="K65">
        <f t="shared" si="2"/>
        <v>-574</v>
      </c>
    </row>
    <row r="66" spans="1:11" x14ac:dyDescent="0.25">
      <c r="A66" s="1">
        <v>65</v>
      </c>
      <c r="B66" s="1" t="s">
        <v>2573</v>
      </c>
      <c r="C66" s="1" t="s">
        <v>2312</v>
      </c>
      <c r="D66" s="1">
        <v>-7.2709999999999999</v>
      </c>
      <c r="E66" s="1">
        <v>119.626</v>
      </c>
      <c r="F66" s="1">
        <v>575</v>
      </c>
      <c r="G66" s="1">
        <v>4.9000000000000004</v>
      </c>
      <c r="H66" t="s">
        <v>280</v>
      </c>
      <c r="I66" s="1" t="str">
        <f t="shared" si="0"/>
        <v>กลางคืน</v>
      </c>
      <c r="J66" s="1" t="str">
        <f t="shared" si="1"/>
        <v>ลึก</v>
      </c>
      <c r="K66">
        <f t="shared" si="2"/>
        <v>-575</v>
      </c>
    </row>
    <row r="67" spans="1:11" x14ac:dyDescent="0.25">
      <c r="A67" s="1">
        <v>66</v>
      </c>
      <c r="B67" s="1" t="s">
        <v>2574</v>
      </c>
      <c r="C67" s="1" t="s">
        <v>2313</v>
      </c>
      <c r="D67" s="1">
        <v>-7.274</v>
      </c>
      <c r="E67" s="1">
        <v>123.396</v>
      </c>
      <c r="F67" s="1">
        <v>600.4</v>
      </c>
      <c r="G67" s="1">
        <v>5.0999999999999996</v>
      </c>
      <c r="H67" t="s">
        <v>284</v>
      </c>
      <c r="I67" s="1" t="str">
        <f t="shared" ref="I67:I130" si="3">IF(AND(HOUR(C67)&gt;=6, HOUR(C67)&lt;=18),"กลางวัน","กลางคืน")</f>
        <v>กลางวัน</v>
      </c>
      <c r="J67" s="1" t="str">
        <f t="shared" ref="J67:J130" si="4">IF(F67&lt;=10,"ตื้นมาก",IF(F67&lt;=30,"ตื้น",IF(F67&lt;70,"กลาง","ลึก")))</f>
        <v>ลึก</v>
      </c>
      <c r="K67">
        <f t="shared" ref="K67:K130" si="5">F67*-1</f>
        <v>-600.4</v>
      </c>
    </row>
    <row r="68" spans="1:11" x14ac:dyDescent="0.25">
      <c r="A68" s="1">
        <v>67</v>
      </c>
      <c r="B68" s="1" t="s">
        <v>2575</v>
      </c>
      <c r="C68" s="1" t="s">
        <v>2314</v>
      </c>
      <c r="D68" s="1">
        <v>-5.9370000000000003</v>
      </c>
      <c r="E68" s="1">
        <v>122.636</v>
      </c>
      <c r="F68" s="1">
        <v>46.3</v>
      </c>
      <c r="G68" s="1">
        <v>5.5</v>
      </c>
      <c r="H68" t="s">
        <v>288</v>
      </c>
      <c r="I68" s="1" t="str">
        <f t="shared" si="3"/>
        <v>กลางคืน</v>
      </c>
      <c r="J68" s="1" t="str">
        <f t="shared" si="4"/>
        <v>กลาง</v>
      </c>
      <c r="K68">
        <f t="shared" si="5"/>
        <v>-46.3</v>
      </c>
    </row>
    <row r="69" spans="1:11" x14ac:dyDescent="0.25">
      <c r="A69" s="1">
        <v>68</v>
      </c>
      <c r="B69" s="1" t="s">
        <v>2576</v>
      </c>
      <c r="C69" s="1" t="s">
        <v>2315</v>
      </c>
      <c r="D69" s="1">
        <v>-7.45</v>
      </c>
      <c r="E69" s="1">
        <v>119.81399999999999</v>
      </c>
      <c r="F69" s="1">
        <v>33</v>
      </c>
      <c r="G69" s="1">
        <v>5.0999999999999996</v>
      </c>
      <c r="H69" t="s">
        <v>292</v>
      </c>
      <c r="I69" s="1" t="str">
        <f t="shared" si="3"/>
        <v>กลางคืน</v>
      </c>
      <c r="J69" s="1" t="str">
        <f t="shared" si="4"/>
        <v>กลาง</v>
      </c>
      <c r="K69">
        <f t="shared" si="5"/>
        <v>-33</v>
      </c>
    </row>
    <row r="70" spans="1:11" x14ac:dyDescent="0.25">
      <c r="A70" s="1">
        <v>69</v>
      </c>
      <c r="B70" s="1" t="s">
        <v>2577</v>
      </c>
      <c r="C70" s="1" t="s">
        <v>2316</v>
      </c>
      <c r="D70" s="1">
        <v>-7.5579999999999998</v>
      </c>
      <c r="E70" s="1">
        <v>124.996</v>
      </c>
      <c r="F70" s="1">
        <v>409.5</v>
      </c>
      <c r="G70" s="1">
        <v>4.8</v>
      </c>
      <c r="H70" t="s">
        <v>296</v>
      </c>
      <c r="I70" s="1" t="str">
        <f t="shared" si="3"/>
        <v>กลางวัน</v>
      </c>
      <c r="J70" s="1" t="str">
        <f t="shared" si="4"/>
        <v>ลึก</v>
      </c>
      <c r="K70">
        <f t="shared" si="5"/>
        <v>-409.5</v>
      </c>
    </row>
    <row r="71" spans="1:11" x14ac:dyDescent="0.25">
      <c r="A71" s="1">
        <v>70</v>
      </c>
      <c r="B71" s="1" t="s">
        <v>2578</v>
      </c>
      <c r="C71" s="1" t="s">
        <v>2317</v>
      </c>
      <c r="D71" s="1">
        <v>-7.3540000000000001</v>
      </c>
      <c r="E71" s="1">
        <v>121.18</v>
      </c>
      <c r="F71" s="1">
        <v>547.1</v>
      </c>
      <c r="G71" s="1">
        <v>5.2</v>
      </c>
      <c r="H71" t="s">
        <v>300</v>
      </c>
      <c r="I71" s="1" t="str">
        <f t="shared" si="3"/>
        <v>กลางวัน</v>
      </c>
      <c r="J71" s="1" t="str">
        <f t="shared" si="4"/>
        <v>ลึก</v>
      </c>
      <c r="K71">
        <f t="shared" si="5"/>
        <v>-547.1</v>
      </c>
    </row>
    <row r="72" spans="1:11" x14ac:dyDescent="0.25">
      <c r="A72" s="1">
        <v>71</v>
      </c>
      <c r="B72" s="1" t="s">
        <v>2579</v>
      </c>
      <c r="C72" s="1" t="s">
        <v>2318</v>
      </c>
      <c r="D72" s="1">
        <v>-7.056</v>
      </c>
      <c r="E72" s="1">
        <v>123.389</v>
      </c>
      <c r="F72" s="1">
        <v>642.1</v>
      </c>
      <c r="G72" s="1">
        <v>4.5999999999999996</v>
      </c>
      <c r="H72" t="s">
        <v>304</v>
      </c>
      <c r="I72" s="1" t="str">
        <f t="shared" si="3"/>
        <v>กลางวัน</v>
      </c>
      <c r="J72" s="1" t="str">
        <f t="shared" si="4"/>
        <v>ลึก</v>
      </c>
      <c r="K72">
        <f t="shared" si="5"/>
        <v>-642.1</v>
      </c>
    </row>
    <row r="73" spans="1:11" x14ac:dyDescent="0.25">
      <c r="A73" s="1">
        <v>72</v>
      </c>
      <c r="B73" s="1" t="s">
        <v>2580</v>
      </c>
      <c r="C73" s="1" t="s">
        <v>2319</v>
      </c>
      <c r="D73" s="1">
        <v>-6.38</v>
      </c>
      <c r="E73" s="1">
        <v>125.26</v>
      </c>
      <c r="F73" s="1">
        <v>571.6</v>
      </c>
      <c r="G73" s="1">
        <v>5.3</v>
      </c>
      <c r="H73" t="s">
        <v>308</v>
      </c>
      <c r="I73" s="1" t="str">
        <f t="shared" si="3"/>
        <v>กลางคืน</v>
      </c>
      <c r="J73" s="1" t="str">
        <f t="shared" si="4"/>
        <v>ลึก</v>
      </c>
      <c r="K73">
        <f t="shared" si="5"/>
        <v>-571.6</v>
      </c>
    </row>
    <row r="74" spans="1:11" x14ac:dyDescent="0.25">
      <c r="A74" s="1">
        <v>73</v>
      </c>
      <c r="B74" s="1" t="s">
        <v>2581</v>
      </c>
      <c r="C74" s="1" t="s">
        <v>2320</v>
      </c>
      <c r="D74" s="1">
        <v>-7.2249999999999996</v>
      </c>
      <c r="E74" s="1">
        <v>120.307</v>
      </c>
      <c r="F74" s="1">
        <v>567.1</v>
      </c>
      <c r="G74" s="1">
        <v>5.4</v>
      </c>
      <c r="H74" t="s">
        <v>312</v>
      </c>
      <c r="I74" s="1" t="str">
        <f t="shared" si="3"/>
        <v>กลางวัน</v>
      </c>
      <c r="J74" s="1" t="str">
        <f t="shared" si="4"/>
        <v>ลึก</v>
      </c>
      <c r="K74">
        <f t="shared" si="5"/>
        <v>-567.1</v>
      </c>
    </row>
    <row r="75" spans="1:11" x14ac:dyDescent="0.25">
      <c r="A75" s="1">
        <v>74</v>
      </c>
      <c r="B75" s="1" t="s">
        <v>2582</v>
      </c>
      <c r="C75" s="1" t="s">
        <v>2321</v>
      </c>
      <c r="D75" s="1">
        <v>-6.95</v>
      </c>
      <c r="E75" s="1">
        <v>125.093</v>
      </c>
      <c r="F75" s="1">
        <v>518.9</v>
      </c>
      <c r="G75" s="1">
        <v>4.5999999999999996</v>
      </c>
      <c r="H75" t="s">
        <v>316</v>
      </c>
      <c r="I75" s="1" t="str">
        <f t="shared" si="3"/>
        <v>กลางวัน</v>
      </c>
      <c r="J75" s="1" t="str">
        <f t="shared" si="4"/>
        <v>ลึก</v>
      </c>
      <c r="K75">
        <f t="shared" si="5"/>
        <v>-518.9</v>
      </c>
    </row>
    <row r="76" spans="1:11" x14ac:dyDescent="0.25">
      <c r="A76" s="1">
        <v>75</v>
      </c>
      <c r="B76" s="1" t="s">
        <v>2583</v>
      </c>
      <c r="C76" s="1" t="s">
        <v>2322</v>
      </c>
      <c r="D76" s="1">
        <v>-7.3040000000000003</v>
      </c>
      <c r="E76" s="1">
        <v>120.151</v>
      </c>
      <c r="F76" s="1">
        <v>608.5</v>
      </c>
      <c r="G76" s="1">
        <v>5.5</v>
      </c>
      <c r="H76" t="s">
        <v>321</v>
      </c>
      <c r="I76" s="1" t="str">
        <f t="shared" si="3"/>
        <v>กลางคืน</v>
      </c>
      <c r="J76" s="1" t="str">
        <f t="shared" si="4"/>
        <v>ลึก</v>
      </c>
      <c r="K76">
        <f t="shared" si="5"/>
        <v>-608.5</v>
      </c>
    </row>
    <row r="77" spans="1:11" x14ac:dyDescent="0.25">
      <c r="A77" s="1">
        <v>76</v>
      </c>
      <c r="B77" s="1" t="s">
        <v>2584</v>
      </c>
      <c r="C77" s="1" t="s">
        <v>2323</v>
      </c>
      <c r="D77" s="1">
        <v>-5.6609999999999996</v>
      </c>
      <c r="E77" s="1">
        <v>124.831</v>
      </c>
      <c r="F77" s="1">
        <v>601.29999999999995</v>
      </c>
      <c r="G77" s="1">
        <v>5.9</v>
      </c>
      <c r="H77" t="s">
        <v>326</v>
      </c>
      <c r="I77" s="1" t="str">
        <f t="shared" si="3"/>
        <v>กลางวัน</v>
      </c>
      <c r="J77" s="1" t="str">
        <f t="shared" si="4"/>
        <v>ลึก</v>
      </c>
      <c r="K77">
        <f t="shared" si="5"/>
        <v>-601.29999999999995</v>
      </c>
    </row>
    <row r="78" spans="1:11" x14ac:dyDescent="0.25">
      <c r="A78" s="1">
        <v>77</v>
      </c>
      <c r="B78" s="1" t="s">
        <v>2585</v>
      </c>
      <c r="C78" s="1" t="s">
        <v>2324</v>
      </c>
      <c r="D78" s="1">
        <v>-7.343</v>
      </c>
      <c r="E78" s="1">
        <v>124.304</v>
      </c>
      <c r="F78" s="1">
        <v>427.9</v>
      </c>
      <c r="G78" s="1">
        <v>4.8</v>
      </c>
      <c r="H78" t="s">
        <v>330</v>
      </c>
      <c r="I78" s="1" t="str">
        <f t="shared" si="3"/>
        <v>กลางวัน</v>
      </c>
      <c r="J78" s="1" t="str">
        <f t="shared" si="4"/>
        <v>ลึก</v>
      </c>
      <c r="K78">
        <f t="shared" si="5"/>
        <v>-427.9</v>
      </c>
    </row>
    <row r="79" spans="1:11" x14ac:dyDescent="0.25">
      <c r="A79" s="1">
        <v>78</v>
      </c>
      <c r="B79" s="1" t="s">
        <v>2586</v>
      </c>
      <c r="C79" s="1" t="s">
        <v>2325</v>
      </c>
      <c r="D79" s="1">
        <v>-7.2119999999999997</v>
      </c>
      <c r="E79" s="1">
        <v>121.072</v>
      </c>
      <c r="F79" s="1">
        <v>575</v>
      </c>
      <c r="G79" s="1">
        <v>5.5</v>
      </c>
      <c r="H79" t="s">
        <v>334</v>
      </c>
      <c r="I79" s="1" t="str">
        <f t="shared" si="3"/>
        <v>กลางคืน</v>
      </c>
      <c r="J79" s="1" t="str">
        <f t="shared" si="4"/>
        <v>ลึก</v>
      </c>
      <c r="K79">
        <f t="shared" si="5"/>
        <v>-575</v>
      </c>
    </row>
    <row r="80" spans="1:11" x14ac:dyDescent="0.25">
      <c r="A80" s="1">
        <v>79</v>
      </c>
      <c r="B80" s="1" t="s">
        <v>2587</v>
      </c>
      <c r="C80" s="1" t="s">
        <v>2326</v>
      </c>
      <c r="D80" s="1">
        <v>-7.2039999999999997</v>
      </c>
      <c r="E80" s="1">
        <v>124.057</v>
      </c>
      <c r="F80" s="1">
        <v>554</v>
      </c>
      <c r="G80" s="1">
        <v>5</v>
      </c>
      <c r="H80" t="s">
        <v>338</v>
      </c>
      <c r="I80" s="1" t="str">
        <f t="shared" si="3"/>
        <v>กลางคืน</v>
      </c>
      <c r="J80" s="1" t="str">
        <f t="shared" si="4"/>
        <v>ลึก</v>
      </c>
      <c r="K80">
        <f t="shared" si="5"/>
        <v>-554</v>
      </c>
    </row>
    <row r="81" spans="1:11" x14ac:dyDescent="0.25">
      <c r="A81" s="1">
        <v>80</v>
      </c>
      <c r="B81" s="1" t="s">
        <v>2588</v>
      </c>
      <c r="C81" s="1" t="s">
        <v>2327</v>
      </c>
      <c r="D81" s="1">
        <v>-6.431</v>
      </c>
      <c r="E81" s="1">
        <v>123.697</v>
      </c>
      <c r="F81" s="1">
        <v>656.6</v>
      </c>
      <c r="G81" s="1">
        <v>5.3</v>
      </c>
      <c r="H81" t="s">
        <v>342</v>
      </c>
      <c r="I81" s="1" t="str">
        <f t="shared" si="3"/>
        <v>กลางคืน</v>
      </c>
      <c r="J81" s="1" t="str">
        <f t="shared" si="4"/>
        <v>ลึก</v>
      </c>
      <c r="K81">
        <f t="shared" si="5"/>
        <v>-656.6</v>
      </c>
    </row>
    <row r="82" spans="1:11" x14ac:dyDescent="0.25">
      <c r="A82" s="1">
        <v>81</v>
      </c>
      <c r="B82" s="1" t="s">
        <v>2589</v>
      </c>
      <c r="C82" s="1" t="s">
        <v>2328</v>
      </c>
      <c r="D82" s="1">
        <v>-7.016</v>
      </c>
      <c r="E82" s="1">
        <v>125.265</v>
      </c>
      <c r="F82" s="1">
        <v>516.6</v>
      </c>
      <c r="G82" s="1">
        <v>5</v>
      </c>
      <c r="H82" t="s">
        <v>346</v>
      </c>
      <c r="I82" s="1" t="str">
        <f t="shared" si="3"/>
        <v>กลางวัน</v>
      </c>
      <c r="J82" s="1" t="str">
        <f t="shared" si="4"/>
        <v>ลึก</v>
      </c>
      <c r="K82">
        <f t="shared" si="5"/>
        <v>-516.6</v>
      </c>
    </row>
    <row r="83" spans="1:11" x14ac:dyDescent="0.25">
      <c r="A83" s="1">
        <v>82</v>
      </c>
      <c r="B83" s="1" t="s">
        <v>2590</v>
      </c>
      <c r="C83" s="1" t="s">
        <v>2329</v>
      </c>
      <c r="D83" s="1">
        <v>-7.125</v>
      </c>
      <c r="E83" s="1">
        <v>124.166</v>
      </c>
      <c r="F83" s="1">
        <v>617.4</v>
      </c>
      <c r="G83" s="1">
        <v>4.5999999999999996</v>
      </c>
      <c r="H83" t="s">
        <v>338</v>
      </c>
      <c r="I83" s="1" t="str">
        <f t="shared" si="3"/>
        <v>กลางวัน</v>
      </c>
      <c r="J83" s="1" t="str">
        <f t="shared" si="4"/>
        <v>ลึก</v>
      </c>
      <c r="K83">
        <f t="shared" si="5"/>
        <v>-617.4</v>
      </c>
    </row>
    <row r="84" spans="1:11" x14ac:dyDescent="0.25">
      <c r="A84" s="1">
        <v>83</v>
      </c>
      <c r="B84" s="1" t="s">
        <v>2591</v>
      </c>
      <c r="C84" s="1" t="s">
        <v>2330</v>
      </c>
      <c r="D84" s="1">
        <v>-4.8559999999999999</v>
      </c>
      <c r="E84" s="1">
        <v>125.18</v>
      </c>
      <c r="F84" s="1">
        <v>419.1</v>
      </c>
      <c r="G84" s="1">
        <v>4.7</v>
      </c>
      <c r="H84" t="s">
        <v>353</v>
      </c>
      <c r="I84" s="1" t="str">
        <f t="shared" si="3"/>
        <v>กลางคืน</v>
      </c>
      <c r="J84" s="1" t="str">
        <f t="shared" si="4"/>
        <v>ลึก</v>
      </c>
      <c r="K84">
        <f t="shared" si="5"/>
        <v>-419.1</v>
      </c>
    </row>
    <row r="85" spans="1:11" x14ac:dyDescent="0.25">
      <c r="A85" s="1">
        <v>84</v>
      </c>
      <c r="B85" s="1" t="s">
        <v>2592</v>
      </c>
      <c r="C85" s="1" t="s">
        <v>2331</v>
      </c>
      <c r="D85" s="1">
        <v>-7.4630000000000001</v>
      </c>
      <c r="E85" s="1">
        <v>122.598</v>
      </c>
      <c r="F85" s="1">
        <v>33</v>
      </c>
      <c r="G85" s="1">
        <v>5</v>
      </c>
      <c r="H85" t="s">
        <v>357</v>
      </c>
      <c r="I85" s="1" t="str">
        <f t="shared" si="3"/>
        <v>กลางคืน</v>
      </c>
      <c r="J85" s="1" t="str">
        <f t="shared" si="4"/>
        <v>กลาง</v>
      </c>
      <c r="K85">
        <f t="shared" si="5"/>
        <v>-33</v>
      </c>
    </row>
    <row r="86" spans="1:11" x14ac:dyDescent="0.25">
      <c r="A86" s="1">
        <v>85</v>
      </c>
      <c r="B86" s="1" t="s">
        <v>2593</v>
      </c>
      <c r="C86" s="1" t="s">
        <v>2332</v>
      </c>
      <c r="D86" s="1">
        <v>-6.8970000000000002</v>
      </c>
      <c r="E86" s="1">
        <v>125.048</v>
      </c>
      <c r="F86" s="1">
        <v>552.9</v>
      </c>
      <c r="G86" s="1">
        <v>4.5999999999999996</v>
      </c>
      <c r="H86" t="s">
        <v>361</v>
      </c>
      <c r="I86" s="1" t="str">
        <f t="shared" si="3"/>
        <v>กลางคืน</v>
      </c>
      <c r="J86" s="1" t="str">
        <f t="shared" si="4"/>
        <v>ลึก</v>
      </c>
      <c r="K86">
        <f t="shared" si="5"/>
        <v>-552.9</v>
      </c>
    </row>
    <row r="87" spans="1:11" x14ac:dyDescent="0.25">
      <c r="A87" s="1">
        <v>86</v>
      </c>
      <c r="B87" s="1" t="s">
        <v>2594</v>
      </c>
      <c r="C87" s="1" t="s">
        <v>2333</v>
      </c>
      <c r="D87" s="1">
        <v>-7.4610000000000003</v>
      </c>
      <c r="E87" s="1">
        <v>120.22199999999999</v>
      </c>
      <c r="F87" s="1">
        <v>391.9</v>
      </c>
      <c r="G87" s="1">
        <v>4.5</v>
      </c>
      <c r="H87" t="s">
        <v>365</v>
      </c>
      <c r="I87" s="1" t="str">
        <f t="shared" si="3"/>
        <v>กลางคืน</v>
      </c>
      <c r="J87" s="1" t="str">
        <f t="shared" si="4"/>
        <v>ลึก</v>
      </c>
      <c r="K87">
        <f t="shared" si="5"/>
        <v>-391.9</v>
      </c>
    </row>
    <row r="88" spans="1:11" x14ac:dyDescent="0.25">
      <c r="A88" s="1">
        <v>87</v>
      </c>
      <c r="B88" s="1" t="s">
        <v>2595</v>
      </c>
      <c r="C88" s="1" t="s">
        <v>2334</v>
      </c>
      <c r="D88" s="1">
        <v>-7.23</v>
      </c>
      <c r="E88" s="1">
        <v>120.327</v>
      </c>
      <c r="F88" s="1">
        <v>563.20000000000005</v>
      </c>
      <c r="G88" s="1">
        <v>5.0999999999999996</v>
      </c>
      <c r="H88" t="s">
        <v>312</v>
      </c>
      <c r="I88" s="1" t="str">
        <f t="shared" si="3"/>
        <v>กลางวัน</v>
      </c>
      <c r="J88" s="1" t="str">
        <f t="shared" si="4"/>
        <v>ลึก</v>
      </c>
      <c r="K88">
        <f t="shared" si="5"/>
        <v>-563.20000000000005</v>
      </c>
    </row>
    <row r="89" spans="1:11" x14ac:dyDescent="0.25">
      <c r="A89" s="1">
        <v>88</v>
      </c>
      <c r="B89" s="1" t="s">
        <v>2595</v>
      </c>
      <c r="C89" s="1" t="s">
        <v>2335</v>
      </c>
      <c r="D89" s="1">
        <v>-7.28</v>
      </c>
      <c r="E89" s="1">
        <v>120.307</v>
      </c>
      <c r="F89" s="1">
        <v>573.9</v>
      </c>
      <c r="G89" s="1">
        <v>4.9000000000000004</v>
      </c>
      <c r="H89" t="s">
        <v>372</v>
      </c>
      <c r="I89" s="1" t="str">
        <f t="shared" si="3"/>
        <v>กลางวัน</v>
      </c>
      <c r="J89" s="1" t="str">
        <f t="shared" si="4"/>
        <v>ลึก</v>
      </c>
      <c r="K89">
        <f t="shared" si="5"/>
        <v>-573.9</v>
      </c>
    </row>
    <row r="90" spans="1:11" x14ac:dyDescent="0.25">
      <c r="A90" s="1">
        <v>89</v>
      </c>
      <c r="B90" s="1" t="s">
        <v>2596</v>
      </c>
      <c r="C90" s="1" t="s">
        <v>2336</v>
      </c>
      <c r="D90" s="1">
        <v>-7.0250000000000004</v>
      </c>
      <c r="E90" s="1">
        <v>125.114</v>
      </c>
      <c r="F90" s="1">
        <v>553.5</v>
      </c>
      <c r="G90" s="1">
        <v>5.4</v>
      </c>
      <c r="H90" t="s">
        <v>376</v>
      </c>
      <c r="I90" s="1" t="str">
        <f t="shared" si="3"/>
        <v>กลางวัน</v>
      </c>
      <c r="J90" s="1" t="str">
        <f t="shared" si="4"/>
        <v>ลึก</v>
      </c>
      <c r="K90">
        <f t="shared" si="5"/>
        <v>-553.5</v>
      </c>
    </row>
    <row r="91" spans="1:11" x14ac:dyDescent="0.25">
      <c r="A91" s="1">
        <v>90</v>
      </c>
      <c r="B91" s="1" t="s">
        <v>2597</v>
      </c>
      <c r="C91" s="1" t="s">
        <v>2337</v>
      </c>
      <c r="D91" s="1">
        <v>-7.4329999999999998</v>
      </c>
      <c r="E91" s="1">
        <v>124.47499999999999</v>
      </c>
      <c r="F91" s="1">
        <v>467.9</v>
      </c>
      <c r="G91" s="1">
        <v>5.3</v>
      </c>
      <c r="H91" t="s">
        <v>380</v>
      </c>
      <c r="I91" s="1" t="str">
        <f t="shared" si="3"/>
        <v>กลางคืน</v>
      </c>
      <c r="J91" s="1" t="str">
        <f t="shared" si="4"/>
        <v>ลึก</v>
      </c>
      <c r="K91">
        <f t="shared" si="5"/>
        <v>-467.9</v>
      </c>
    </row>
    <row r="92" spans="1:11" x14ac:dyDescent="0.25">
      <c r="A92" s="1">
        <v>91</v>
      </c>
      <c r="B92" s="1" t="s">
        <v>2598</v>
      </c>
      <c r="C92" s="1" t="s">
        <v>2338</v>
      </c>
      <c r="D92" s="1">
        <v>-7.1559999999999997</v>
      </c>
      <c r="E92" s="1">
        <v>123.224</v>
      </c>
      <c r="F92" s="1">
        <v>600</v>
      </c>
      <c r="G92" s="1">
        <v>4.7</v>
      </c>
      <c r="H92" t="s">
        <v>384</v>
      </c>
      <c r="I92" s="1" t="str">
        <f t="shared" si="3"/>
        <v>กลางวัน</v>
      </c>
      <c r="J92" s="1" t="str">
        <f t="shared" si="4"/>
        <v>ลึก</v>
      </c>
      <c r="K92">
        <f t="shared" si="5"/>
        <v>-600</v>
      </c>
    </row>
    <row r="93" spans="1:11" x14ac:dyDescent="0.25">
      <c r="A93" s="1">
        <v>92</v>
      </c>
      <c r="B93" s="1" t="s">
        <v>2599</v>
      </c>
      <c r="C93" s="1" t="s">
        <v>2339</v>
      </c>
      <c r="D93" s="1">
        <v>-7.2569999999999997</v>
      </c>
      <c r="E93" s="1">
        <v>124.328</v>
      </c>
      <c r="F93" s="1">
        <v>562.9</v>
      </c>
      <c r="G93" s="1">
        <v>4.9000000000000004</v>
      </c>
      <c r="H93" t="s">
        <v>388</v>
      </c>
      <c r="I93" s="1" t="str">
        <f t="shared" si="3"/>
        <v>กลางคืน</v>
      </c>
      <c r="J93" s="1" t="str">
        <f t="shared" si="4"/>
        <v>ลึก</v>
      </c>
      <c r="K93">
        <f t="shared" si="5"/>
        <v>-562.9</v>
      </c>
    </row>
    <row r="94" spans="1:11" x14ac:dyDescent="0.25">
      <c r="A94" s="1">
        <v>93</v>
      </c>
      <c r="B94" s="1" t="s">
        <v>2600</v>
      </c>
      <c r="C94" s="1" t="s">
        <v>2340</v>
      </c>
      <c r="D94" s="1">
        <v>-6.9409999999999998</v>
      </c>
      <c r="E94" s="1">
        <v>125.04</v>
      </c>
      <c r="F94" s="1">
        <v>519.9</v>
      </c>
      <c r="G94" s="1">
        <v>4.9000000000000004</v>
      </c>
      <c r="H94" t="s">
        <v>392</v>
      </c>
      <c r="I94" s="1" t="str">
        <f t="shared" si="3"/>
        <v>กลางวัน</v>
      </c>
      <c r="J94" s="1" t="str">
        <f t="shared" si="4"/>
        <v>ลึก</v>
      </c>
      <c r="K94">
        <f t="shared" si="5"/>
        <v>-519.9</v>
      </c>
    </row>
    <row r="95" spans="1:11" x14ac:dyDescent="0.25">
      <c r="A95" s="1">
        <v>94</v>
      </c>
      <c r="B95" s="1" t="s">
        <v>2601</v>
      </c>
      <c r="C95" s="1" t="s">
        <v>2341</v>
      </c>
      <c r="D95" s="1">
        <v>-7.077</v>
      </c>
      <c r="E95" s="1">
        <v>124.28400000000001</v>
      </c>
      <c r="F95" s="1">
        <v>595.5</v>
      </c>
      <c r="G95" s="1">
        <v>6</v>
      </c>
      <c r="H95" t="s">
        <v>396</v>
      </c>
      <c r="I95" s="1" t="str">
        <f t="shared" si="3"/>
        <v>กลางวัน</v>
      </c>
      <c r="J95" s="1" t="str">
        <f t="shared" si="4"/>
        <v>ลึก</v>
      </c>
      <c r="K95">
        <f t="shared" si="5"/>
        <v>-595.5</v>
      </c>
    </row>
    <row r="96" spans="1:11" x14ac:dyDescent="0.25">
      <c r="A96" s="1">
        <v>95</v>
      </c>
      <c r="B96" s="1" t="s">
        <v>2602</v>
      </c>
      <c r="C96" s="1" t="s">
        <v>2342</v>
      </c>
      <c r="D96" s="1">
        <v>-7.33</v>
      </c>
      <c r="E96" s="1">
        <v>120.37</v>
      </c>
      <c r="F96" s="1">
        <v>399.7</v>
      </c>
      <c r="G96" s="1">
        <v>4.5</v>
      </c>
      <c r="H96" t="s">
        <v>400</v>
      </c>
      <c r="I96" s="1" t="str">
        <f t="shared" si="3"/>
        <v>กลางวัน</v>
      </c>
      <c r="J96" s="1" t="str">
        <f t="shared" si="4"/>
        <v>ลึก</v>
      </c>
      <c r="K96">
        <f t="shared" si="5"/>
        <v>-399.7</v>
      </c>
    </row>
    <row r="97" spans="1:11" x14ac:dyDescent="0.25">
      <c r="A97" s="1">
        <v>96</v>
      </c>
      <c r="B97" s="1" t="s">
        <v>2603</v>
      </c>
      <c r="C97" s="1" t="s">
        <v>2343</v>
      </c>
      <c r="D97" s="1">
        <v>-6.2539999999999996</v>
      </c>
      <c r="E97" s="1">
        <v>120.108</v>
      </c>
      <c r="F97" s="1">
        <v>47.2</v>
      </c>
      <c r="G97" s="1">
        <v>5.3</v>
      </c>
      <c r="H97" t="s">
        <v>404</v>
      </c>
      <c r="I97" s="1" t="str">
        <f t="shared" si="3"/>
        <v>กลางวัน</v>
      </c>
      <c r="J97" s="1" t="str">
        <f t="shared" si="4"/>
        <v>กลาง</v>
      </c>
      <c r="K97">
        <f t="shared" si="5"/>
        <v>-47.2</v>
      </c>
    </row>
    <row r="98" spans="1:11" x14ac:dyDescent="0.25">
      <c r="A98" s="1">
        <v>97</v>
      </c>
      <c r="B98" s="1" t="s">
        <v>2604</v>
      </c>
      <c r="C98" s="1" t="s">
        <v>2344</v>
      </c>
      <c r="D98" s="1">
        <v>-7.4550000000000001</v>
      </c>
      <c r="E98" s="1">
        <v>120.646</v>
      </c>
      <c r="F98" s="1">
        <v>613.9</v>
      </c>
      <c r="G98" s="1">
        <v>5.5</v>
      </c>
      <c r="H98" t="s">
        <v>408</v>
      </c>
      <c r="I98" s="1" t="str">
        <f t="shared" si="3"/>
        <v>กลางคืน</v>
      </c>
      <c r="J98" s="1" t="str">
        <f t="shared" si="4"/>
        <v>ลึก</v>
      </c>
      <c r="K98">
        <f t="shared" si="5"/>
        <v>-613.9</v>
      </c>
    </row>
    <row r="99" spans="1:11" x14ac:dyDescent="0.25">
      <c r="A99" s="1">
        <v>98</v>
      </c>
      <c r="B99" s="1" t="s">
        <v>2605</v>
      </c>
      <c r="C99" s="1" t="s">
        <v>2345</v>
      </c>
      <c r="D99" s="1">
        <v>-7.3559999999999999</v>
      </c>
      <c r="E99" s="1">
        <v>120.19</v>
      </c>
      <c r="F99" s="1">
        <v>412</v>
      </c>
      <c r="G99" s="1">
        <v>5.2</v>
      </c>
      <c r="H99" t="s">
        <v>412</v>
      </c>
      <c r="I99" s="1" t="str">
        <f t="shared" si="3"/>
        <v>กลางคืน</v>
      </c>
      <c r="J99" s="1" t="str">
        <f t="shared" si="4"/>
        <v>ลึก</v>
      </c>
      <c r="K99">
        <f t="shared" si="5"/>
        <v>-412</v>
      </c>
    </row>
    <row r="100" spans="1:11" x14ac:dyDescent="0.25">
      <c r="A100" s="1">
        <v>99</v>
      </c>
      <c r="B100" s="1" t="s">
        <v>2606</v>
      </c>
      <c r="C100" s="1" t="s">
        <v>2346</v>
      </c>
      <c r="D100" s="1">
        <v>-7.0720000000000001</v>
      </c>
      <c r="E100" s="1">
        <v>124.152</v>
      </c>
      <c r="F100" s="1">
        <v>627.9</v>
      </c>
      <c r="G100" s="1">
        <v>6</v>
      </c>
      <c r="H100" t="s">
        <v>416</v>
      </c>
      <c r="I100" s="1" t="str">
        <f t="shared" si="3"/>
        <v>กลางวัน</v>
      </c>
      <c r="J100" s="1" t="str">
        <f t="shared" si="4"/>
        <v>ลึก</v>
      </c>
      <c r="K100">
        <f t="shared" si="5"/>
        <v>-627.9</v>
      </c>
    </row>
    <row r="101" spans="1:11" x14ac:dyDescent="0.25">
      <c r="A101" s="1">
        <v>100</v>
      </c>
      <c r="B101" s="1" t="s">
        <v>2607</v>
      </c>
      <c r="C101" s="1" t="s">
        <v>2347</v>
      </c>
      <c r="D101" s="1">
        <v>-6.1310000000000002</v>
      </c>
      <c r="E101" s="1">
        <v>122.745</v>
      </c>
      <c r="F101" s="1">
        <v>52.5</v>
      </c>
      <c r="G101" s="1">
        <v>5.3</v>
      </c>
      <c r="H101" t="s">
        <v>420</v>
      </c>
      <c r="I101" s="1" t="str">
        <f t="shared" si="3"/>
        <v>กลางวัน</v>
      </c>
      <c r="J101" s="1" t="str">
        <f t="shared" si="4"/>
        <v>กลาง</v>
      </c>
      <c r="K101">
        <f t="shared" si="5"/>
        <v>-52.5</v>
      </c>
    </row>
    <row r="102" spans="1:11" x14ac:dyDescent="0.25">
      <c r="A102" s="1">
        <v>101</v>
      </c>
      <c r="B102" s="1" t="s">
        <v>2608</v>
      </c>
      <c r="C102" s="1" t="s">
        <v>2348</v>
      </c>
      <c r="D102" s="1">
        <v>-6.3529999999999998</v>
      </c>
      <c r="E102" s="1">
        <v>122.825</v>
      </c>
      <c r="F102" s="1">
        <v>33</v>
      </c>
      <c r="G102" s="1">
        <v>4.5999999999999996</v>
      </c>
      <c r="H102" t="s">
        <v>424</v>
      </c>
      <c r="I102" s="1" t="str">
        <f t="shared" si="3"/>
        <v>กลางคืน</v>
      </c>
      <c r="J102" s="1" t="str">
        <f t="shared" si="4"/>
        <v>กลาง</v>
      </c>
      <c r="K102">
        <f t="shared" si="5"/>
        <v>-33</v>
      </c>
    </row>
    <row r="103" spans="1:11" x14ac:dyDescent="0.25">
      <c r="A103" s="1">
        <v>102</v>
      </c>
      <c r="B103" s="1" t="s">
        <v>2609</v>
      </c>
      <c r="C103" s="1" t="s">
        <v>2349</v>
      </c>
      <c r="D103" s="1">
        <v>-7.2309999999999999</v>
      </c>
      <c r="E103" s="1">
        <v>122.78100000000001</v>
      </c>
      <c r="F103" s="1">
        <v>611.9</v>
      </c>
      <c r="G103" s="1">
        <v>4.5999999999999996</v>
      </c>
      <c r="H103" t="s">
        <v>428</v>
      </c>
      <c r="I103" s="1" t="str">
        <f t="shared" si="3"/>
        <v>กลางวัน</v>
      </c>
      <c r="J103" s="1" t="str">
        <f t="shared" si="4"/>
        <v>ลึก</v>
      </c>
      <c r="K103">
        <f t="shared" si="5"/>
        <v>-611.9</v>
      </c>
    </row>
    <row r="104" spans="1:11" x14ac:dyDescent="0.25">
      <c r="A104" s="1">
        <v>103</v>
      </c>
      <c r="B104" s="1" t="s">
        <v>2610</v>
      </c>
      <c r="C104" s="1" t="s">
        <v>2350</v>
      </c>
      <c r="D104" s="1">
        <v>-6.1369999999999996</v>
      </c>
      <c r="E104" s="1">
        <v>123.04600000000001</v>
      </c>
      <c r="F104" s="1">
        <v>33</v>
      </c>
      <c r="G104" s="1">
        <v>4.8</v>
      </c>
      <c r="H104" t="s">
        <v>432</v>
      </c>
      <c r="I104" s="1" t="str">
        <f t="shared" si="3"/>
        <v>กลางวัน</v>
      </c>
      <c r="J104" s="1" t="str">
        <f t="shared" si="4"/>
        <v>กลาง</v>
      </c>
      <c r="K104">
        <f t="shared" si="5"/>
        <v>-33</v>
      </c>
    </row>
    <row r="105" spans="1:11" x14ac:dyDescent="0.25">
      <c r="A105" s="1">
        <v>104</v>
      </c>
      <c r="B105" s="1" t="s">
        <v>2611</v>
      </c>
      <c r="C105" s="1" t="s">
        <v>2351</v>
      </c>
      <c r="D105" s="1">
        <v>-6.1449999999999996</v>
      </c>
      <c r="E105" s="1">
        <v>122.98399999999999</v>
      </c>
      <c r="F105" s="1">
        <v>33</v>
      </c>
      <c r="G105" s="1">
        <v>4.5</v>
      </c>
      <c r="H105" t="s">
        <v>436</v>
      </c>
      <c r="I105" s="1" t="str">
        <f t="shared" si="3"/>
        <v>กลางวัน</v>
      </c>
      <c r="J105" s="1" t="str">
        <f t="shared" si="4"/>
        <v>กลาง</v>
      </c>
      <c r="K105">
        <f t="shared" si="5"/>
        <v>-33</v>
      </c>
    </row>
    <row r="106" spans="1:11" x14ac:dyDescent="0.25">
      <c r="A106" s="1">
        <v>105</v>
      </c>
      <c r="B106" s="1" t="s">
        <v>2612</v>
      </c>
      <c r="C106" s="1" t="s">
        <v>2352</v>
      </c>
      <c r="D106" s="1">
        <v>-7.0940000000000003</v>
      </c>
      <c r="E106" s="1">
        <v>120.173</v>
      </c>
      <c r="F106" s="1">
        <v>423.8</v>
      </c>
      <c r="G106" s="1">
        <v>4.9000000000000004</v>
      </c>
      <c r="H106" t="s">
        <v>440</v>
      </c>
      <c r="I106" s="1" t="str">
        <f t="shared" si="3"/>
        <v>กลางคืน</v>
      </c>
      <c r="J106" s="1" t="str">
        <f t="shared" si="4"/>
        <v>ลึก</v>
      </c>
      <c r="K106">
        <f t="shared" si="5"/>
        <v>-423.8</v>
      </c>
    </row>
    <row r="107" spans="1:11" x14ac:dyDescent="0.25">
      <c r="A107" s="1">
        <v>106</v>
      </c>
      <c r="B107" s="1" t="s">
        <v>2613</v>
      </c>
      <c r="C107" s="1" t="s">
        <v>2353</v>
      </c>
      <c r="D107" s="1">
        <v>-6.9509999999999996</v>
      </c>
      <c r="E107" s="1">
        <v>123.79600000000001</v>
      </c>
      <c r="F107" s="1">
        <v>641.29999999999995</v>
      </c>
      <c r="G107" s="1">
        <v>5.4</v>
      </c>
      <c r="H107" t="s">
        <v>444</v>
      </c>
      <c r="I107" s="1" t="str">
        <f t="shared" si="3"/>
        <v>กลางวัน</v>
      </c>
      <c r="J107" s="1" t="str">
        <f t="shared" si="4"/>
        <v>ลึก</v>
      </c>
      <c r="K107">
        <f t="shared" si="5"/>
        <v>-641.29999999999995</v>
      </c>
    </row>
    <row r="108" spans="1:11" x14ac:dyDescent="0.25">
      <c r="A108" s="1">
        <v>107</v>
      </c>
      <c r="B108" s="1" t="s">
        <v>2614</v>
      </c>
      <c r="C108" s="1" t="s">
        <v>2354</v>
      </c>
      <c r="D108" s="1">
        <v>-7.2519999999999998</v>
      </c>
      <c r="E108" s="1">
        <v>122.408</v>
      </c>
      <c r="F108" s="1">
        <v>573.70000000000005</v>
      </c>
      <c r="G108" s="1">
        <v>4.9000000000000004</v>
      </c>
      <c r="H108" t="s">
        <v>448</v>
      </c>
      <c r="I108" s="1" t="str">
        <f t="shared" si="3"/>
        <v>กลางวัน</v>
      </c>
      <c r="J108" s="1" t="str">
        <f t="shared" si="4"/>
        <v>ลึก</v>
      </c>
      <c r="K108">
        <f t="shared" si="5"/>
        <v>-573.70000000000005</v>
      </c>
    </row>
    <row r="109" spans="1:11" x14ac:dyDescent="0.25">
      <c r="A109" s="1">
        <v>108</v>
      </c>
      <c r="B109" s="1" t="s">
        <v>2615</v>
      </c>
      <c r="C109" s="1" t="s">
        <v>2355</v>
      </c>
      <c r="D109" s="1">
        <v>-6.8540000000000001</v>
      </c>
      <c r="E109" s="1">
        <v>123.32899999999999</v>
      </c>
      <c r="F109" s="1">
        <v>632.4</v>
      </c>
      <c r="G109" s="1">
        <v>5.2</v>
      </c>
      <c r="H109" t="s">
        <v>452</v>
      </c>
      <c r="I109" s="1" t="str">
        <f t="shared" si="3"/>
        <v>กลางคืน</v>
      </c>
      <c r="J109" s="1" t="str">
        <f t="shared" si="4"/>
        <v>ลึก</v>
      </c>
      <c r="K109">
        <f t="shared" si="5"/>
        <v>-632.4</v>
      </c>
    </row>
    <row r="110" spans="1:11" x14ac:dyDescent="0.25">
      <c r="A110" s="1">
        <v>109</v>
      </c>
      <c r="B110" s="1" t="s">
        <v>2616</v>
      </c>
      <c r="C110" s="1" t="s">
        <v>2356</v>
      </c>
      <c r="D110" s="1">
        <v>-7.1509999999999998</v>
      </c>
      <c r="E110" s="1">
        <v>122.751</v>
      </c>
      <c r="F110" s="1">
        <v>571.70000000000005</v>
      </c>
      <c r="G110" s="1">
        <v>4.5999999999999996</v>
      </c>
      <c r="H110" t="s">
        <v>456</v>
      </c>
      <c r="I110" s="1" t="str">
        <f t="shared" si="3"/>
        <v>กลางวัน</v>
      </c>
      <c r="J110" s="1" t="str">
        <f t="shared" si="4"/>
        <v>ลึก</v>
      </c>
      <c r="K110">
        <f t="shared" si="5"/>
        <v>-571.70000000000005</v>
      </c>
    </row>
    <row r="111" spans="1:11" x14ac:dyDescent="0.25">
      <c r="A111" s="1">
        <v>110</v>
      </c>
      <c r="B111" s="1" t="s">
        <v>2617</v>
      </c>
      <c r="C111" s="1" t="s">
        <v>2357</v>
      </c>
      <c r="D111" s="1">
        <v>-7.032</v>
      </c>
      <c r="E111" s="1">
        <v>125.196</v>
      </c>
      <c r="F111" s="1">
        <v>527.29999999999995</v>
      </c>
      <c r="G111" s="1">
        <v>4.7</v>
      </c>
      <c r="H111" t="s">
        <v>460</v>
      </c>
      <c r="I111" s="1" t="str">
        <f t="shared" si="3"/>
        <v>กลางวัน</v>
      </c>
      <c r="J111" s="1" t="str">
        <f t="shared" si="4"/>
        <v>ลึก</v>
      </c>
      <c r="K111">
        <f t="shared" si="5"/>
        <v>-527.29999999999995</v>
      </c>
    </row>
    <row r="112" spans="1:11" x14ac:dyDescent="0.25">
      <c r="A112" s="1">
        <v>111</v>
      </c>
      <c r="B112" s="1" t="s">
        <v>2618</v>
      </c>
      <c r="C112" s="1" t="s">
        <v>2358</v>
      </c>
      <c r="D112" s="1">
        <v>-5.0380000000000003</v>
      </c>
      <c r="E112" s="1">
        <v>125.178</v>
      </c>
      <c r="F112" s="1">
        <v>566.70000000000005</v>
      </c>
      <c r="G112" s="1">
        <v>5</v>
      </c>
      <c r="H112" t="s">
        <v>353</v>
      </c>
      <c r="I112" s="1" t="str">
        <f t="shared" si="3"/>
        <v>กลางวัน</v>
      </c>
      <c r="J112" s="1" t="str">
        <f t="shared" si="4"/>
        <v>ลึก</v>
      </c>
      <c r="K112">
        <f t="shared" si="5"/>
        <v>-566.70000000000005</v>
      </c>
    </row>
    <row r="113" spans="1:11" x14ac:dyDescent="0.25">
      <c r="A113" s="1">
        <v>112</v>
      </c>
      <c r="B113" s="1" t="s">
        <v>2619</v>
      </c>
      <c r="C113" s="1" t="s">
        <v>2359</v>
      </c>
      <c r="D113" s="1">
        <v>-5.9260000000000002</v>
      </c>
      <c r="E113" s="1">
        <v>122.82599999999999</v>
      </c>
      <c r="F113" s="1">
        <v>33</v>
      </c>
      <c r="G113" s="1">
        <v>4.5</v>
      </c>
      <c r="H113" t="s">
        <v>467</v>
      </c>
      <c r="I113" s="1" t="str">
        <f t="shared" si="3"/>
        <v>กลางวัน</v>
      </c>
      <c r="J113" s="1" t="str">
        <f t="shared" si="4"/>
        <v>กลาง</v>
      </c>
      <c r="K113">
        <f t="shared" si="5"/>
        <v>-33</v>
      </c>
    </row>
    <row r="114" spans="1:11" x14ac:dyDescent="0.25">
      <c r="A114" s="1">
        <v>113</v>
      </c>
      <c r="B114" s="1" t="s">
        <v>2620</v>
      </c>
      <c r="C114" s="1" t="s">
        <v>2360</v>
      </c>
      <c r="D114" s="1">
        <v>-6.8719999999999999</v>
      </c>
      <c r="E114" s="1">
        <v>124.774</v>
      </c>
      <c r="F114" s="1">
        <v>563.29999999999995</v>
      </c>
      <c r="G114" s="1">
        <v>4.9000000000000004</v>
      </c>
      <c r="H114" t="s">
        <v>471</v>
      </c>
      <c r="I114" s="1" t="str">
        <f t="shared" si="3"/>
        <v>กลางวัน</v>
      </c>
      <c r="J114" s="1" t="str">
        <f t="shared" si="4"/>
        <v>ลึก</v>
      </c>
      <c r="K114">
        <f t="shared" si="5"/>
        <v>-563.29999999999995</v>
      </c>
    </row>
    <row r="115" spans="1:11" x14ac:dyDescent="0.25">
      <c r="A115" s="1">
        <v>114</v>
      </c>
      <c r="B115" s="1" t="s">
        <v>2621</v>
      </c>
      <c r="C115" s="1" t="s">
        <v>2361</v>
      </c>
      <c r="D115" s="1">
        <v>-7.3419999999999996</v>
      </c>
      <c r="E115" s="1">
        <v>120.01900000000001</v>
      </c>
      <c r="F115" s="1">
        <v>625.79999999999995</v>
      </c>
      <c r="G115" s="1">
        <v>5.2</v>
      </c>
      <c r="H115" t="s">
        <v>475</v>
      </c>
      <c r="I115" s="1" t="str">
        <f t="shared" si="3"/>
        <v>กลางวัน</v>
      </c>
      <c r="J115" s="1" t="str">
        <f t="shared" si="4"/>
        <v>ลึก</v>
      </c>
      <c r="K115">
        <f t="shared" si="5"/>
        <v>-625.79999999999995</v>
      </c>
    </row>
    <row r="116" spans="1:11" x14ac:dyDescent="0.25">
      <c r="A116" s="1">
        <v>115</v>
      </c>
      <c r="B116" s="1" t="s">
        <v>2622</v>
      </c>
      <c r="C116" s="1" t="s">
        <v>2362</v>
      </c>
      <c r="D116" s="1">
        <v>-7.1630000000000003</v>
      </c>
      <c r="E116" s="1">
        <v>124.629</v>
      </c>
      <c r="F116" s="1">
        <v>516.6</v>
      </c>
      <c r="G116" s="1">
        <v>5</v>
      </c>
      <c r="H116" t="s">
        <v>479</v>
      </c>
      <c r="I116" s="1" t="str">
        <f t="shared" si="3"/>
        <v>กลางวัน</v>
      </c>
      <c r="J116" s="1" t="str">
        <f t="shared" si="4"/>
        <v>ลึก</v>
      </c>
      <c r="K116">
        <f t="shared" si="5"/>
        <v>-516.6</v>
      </c>
    </row>
    <row r="117" spans="1:11" x14ac:dyDescent="0.25">
      <c r="A117" s="1">
        <v>116</v>
      </c>
      <c r="B117" s="1" t="s">
        <v>2623</v>
      </c>
      <c r="C117" s="1" t="s">
        <v>2363</v>
      </c>
      <c r="D117" s="1">
        <v>-7.2279999999999998</v>
      </c>
      <c r="E117" s="1">
        <v>120.256</v>
      </c>
      <c r="F117" s="1">
        <v>479</v>
      </c>
      <c r="G117" s="1">
        <v>4.5</v>
      </c>
      <c r="H117" t="s">
        <v>483</v>
      </c>
      <c r="I117" s="1" t="str">
        <f t="shared" si="3"/>
        <v>กลางวัน</v>
      </c>
      <c r="J117" s="1" t="str">
        <f t="shared" si="4"/>
        <v>ลึก</v>
      </c>
      <c r="K117">
        <f t="shared" si="5"/>
        <v>-479</v>
      </c>
    </row>
    <row r="118" spans="1:11" x14ac:dyDescent="0.25">
      <c r="A118" s="1">
        <v>117</v>
      </c>
      <c r="B118" s="1" t="s">
        <v>2624</v>
      </c>
      <c r="C118" s="1" t="s">
        <v>2364</v>
      </c>
      <c r="D118" s="1">
        <v>-7.4180000000000001</v>
      </c>
      <c r="E118" s="1">
        <v>119.959</v>
      </c>
      <c r="F118" s="1">
        <v>401.2</v>
      </c>
      <c r="G118" s="1">
        <v>4.5</v>
      </c>
      <c r="H118" t="s">
        <v>487</v>
      </c>
      <c r="I118" s="1" t="str">
        <f t="shared" si="3"/>
        <v>กลางวัน</v>
      </c>
      <c r="J118" s="1" t="str">
        <f t="shared" si="4"/>
        <v>ลึก</v>
      </c>
      <c r="K118">
        <f t="shared" si="5"/>
        <v>-401.2</v>
      </c>
    </row>
    <row r="119" spans="1:11" x14ac:dyDescent="0.25">
      <c r="A119" s="1">
        <v>118</v>
      </c>
      <c r="B119" s="1" t="s">
        <v>2625</v>
      </c>
      <c r="C119" s="1" t="s">
        <v>2365</v>
      </c>
      <c r="D119" s="1">
        <v>-4.8739999999999997</v>
      </c>
      <c r="E119" s="1">
        <v>123.53700000000001</v>
      </c>
      <c r="F119" s="1">
        <v>33</v>
      </c>
      <c r="G119" s="1">
        <v>5.0999999999999996</v>
      </c>
      <c r="H119" t="s">
        <v>491</v>
      </c>
      <c r="I119" s="1" t="str">
        <f t="shared" si="3"/>
        <v>กลางคืน</v>
      </c>
      <c r="J119" s="1" t="str">
        <f t="shared" si="4"/>
        <v>กลาง</v>
      </c>
      <c r="K119">
        <f t="shared" si="5"/>
        <v>-33</v>
      </c>
    </row>
    <row r="120" spans="1:11" x14ac:dyDescent="0.25">
      <c r="A120" s="1">
        <v>119</v>
      </c>
      <c r="B120" s="1" t="s">
        <v>2626</v>
      </c>
      <c r="C120" s="1" t="s">
        <v>2366</v>
      </c>
      <c r="D120" s="1">
        <v>-7.1539999999999999</v>
      </c>
      <c r="E120" s="1">
        <v>120.751</v>
      </c>
      <c r="F120" s="1">
        <v>485.2</v>
      </c>
      <c r="G120" s="1">
        <v>5.2</v>
      </c>
      <c r="H120" t="s">
        <v>495</v>
      </c>
      <c r="I120" s="1" t="str">
        <f t="shared" si="3"/>
        <v>กลางคืน</v>
      </c>
      <c r="J120" s="1" t="str">
        <f t="shared" si="4"/>
        <v>ลึก</v>
      </c>
      <c r="K120">
        <f t="shared" si="5"/>
        <v>-485.2</v>
      </c>
    </row>
    <row r="121" spans="1:11" x14ac:dyDescent="0.25">
      <c r="A121" s="1">
        <v>120</v>
      </c>
      <c r="B121" s="1" t="s">
        <v>2627</v>
      </c>
      <c r="C121" s="1" t="s">
        <v>2367</v>
      </c>
      <c r="D121" s="1">
        <v>-6.85</v>
      </c>
      <c r="E121" s="1">
        <v>125.161</v>
      </c>
      <c r="F121" s="1">
        <v>542.5</v>
      </c>
      <c r="G121" s="1">
        <v>4.5</v>
      </c>
      <c r="H121" t="s">
        <v>499</v>
      </c>
      <c r="I121" s="1" t="str">
        <f t="shared" si="3"/>
        <v>กลางวัน</v>
      </c>
      <c r="J121" s="1" t="str">
        <f t="shared" si="4"/>
        <v>ลึก</v>
      </c>
      <c r="K121">
        <f t="shared" si="5"/>
        <v>-542.5</v>
      </c>
    </row>
    <row r="122" spans="1:11" x14ac:dyDescent="0.25">
      <c r="A122" s="1">
        <v>121</v>
      </c>
      <c r="B122" s="1" t="s">
        <v>2628</v>
      </c>
      <c r="C122" s="1" t="s">
        <v>2368</v>
      </c>
      <c r="D122" s="1">
        <v>-7.1230000000000002</v>
      </c>
      <c r="E122" s="1">
        <v>123.29</v>
      </c>
      <c r="F122" s="1">
        <v>603.6</v>
      </c>
      <c r="G122" s="1">
        <v>5.5</v>
      </c>
      <c r="H122" t="s">
        <v>503</v>
      </c>
      <c r="I122" s="1" t="str">
        <f t="shared" si="3"/>
        <v>กลางคืน</v>
      </c>
      <c r="J122" s="1" t="str">
        <f t="shared" si="4"/>
        <v>ลึก</v>
      </c>
      <c r="K122">
        <f t="shared" si="5"/>
        <v>-603.6</v>
      </c>
    </row>
    <row r="123" spans="1:11" x14ac:dyDescent="0.25">
      <c r="A123" s="1">
        <v>122</v>
      </c>
      <c r="B123" s="1" t="s">
        <v>2629</v>
      </c>
      <c r="C123" s="1" t="s">
        <v>2369</v>
      </c>
      <c r="D123" s="1">
        <v>-7.3929999999999998</v>
      </c>
      <c r="E123" s="1">
        <v>119.98699999999999</v>
      </c>
      <c r="F123" s="1">
        <v>629.9</v>
      </c>
      <c r="G123" s="1">
        <v>4.8</v>
      </c>
      <c r="H123" t="s">
        <v>507</v>
      </c>
      <c r="I123" s="1" t="str">
        <f t="shared" si="3"/>
        <v>กลางวัน</v>
      </c>
      <c r="J123" s="1" t="str">
        <f t="shared" si="4"/>
        <v>ลึก</v>
      </c>
      <c r="K123">
        <f t="shared" si="5"/>
        <v>-629.9</v>
      </c>
    </row>
    <row r="124" spans="1:11" x14ac:dyDescent="0.25">
      <c r="A124" s="1">
        <v>123</v>
      </c>
      <c r="B124" s="1" t="s">
        <v>2630</v>
      </c>
      <c r="C124" s="1" t="s">
        <v>2370</v>
      </c>
      <c r="D124" s="1">
        <v>-7.2329999999999997</v>
      </c>
      <c r="E124" s="1">
        <v>125.28700000000001</v>
      </c>
      <c r="F124" s="1">
        <v>524.6</v>
      </c>
      <c r="G124" s="1">
        <v>4.9000000000000004</v>
      </c>
      <c r="H124" t="s">
        <v>511</v>
      </c>
      <c r="I124" s="1" t="str">
        <f t="shared" si="3"/>
        <v>กลางวัน</v>
      </c>
      <c r="J124" s="1" t="str">
        <f t="shared" si="4"/>
        <v>ลึก</v>
      </c>
      <c r="K124">
        <f t="shared" si="5"/>
        <v>-524.6</v>
      </c>
    </row>
    <row r="125" spans="1:11" x14ac:dyDescent="0.25">
      <c r="A125" s="1">
        <v>124</v>
      </c>
      <c r="B125" s="1" t="s">
        <v>2631</v>
      </c>
      <c r="C125" s="1" t="s">
        <v>2371</v>
      </c>
      <c r="D125" s="1">
        <v>-7.0659999999999998</v>
      </c>
      <c r="E125" s="1">
        <v>123.218</v>
      </c>
      <c r="F125" s="1">
        <v>649.79999999999995</v>
      </c>
      <c r="G125" s="1">
        <v>5.2</v>
      </c>
      <c r="H125" t="s">
        <v>515</v>
      </c>
      <c r="I125" s="1" t="str">
        <f t="shared" si="3"/>
        <v>กลางคืน</v>
      </c>
      <c r="J125" s="1" t="str">
        <f t="shared" si="4"/>
        <v>ลึก</v>
      </c>
      <c r="K125">
        <f t="shared" si="5"/>
        <v>-649.79999999999995</v>
      </c>
    </row>
    <row r="126" spans="1:11" x14ac:dyDescent="0.25">
      <c r="A126" s="1">
        <v>125</v>
      </c>
      <c r="B126" s="1" t="s">
        <v>2631</v>
      </c>
      <c r="C126" s="1" t="s">
        <v>2372</v>
      </c>
      <c r="D126" s="1">
        <v>-7.077</v>
      </c>
      <c r="E126" s="1">
        <v>123.283</v>
      </c>
      <c r="F126" s="1">
        <v>653.79999999999995</v>
      </c>
      <c r="G126" s="1">
        <v>4.5999999999999996</v>
      </c>
      <c r="H126" t="s">
        <v>519</v>
      </c>
      <c r="I126" s="1" t="str">
        <f t="shared" si="3"/>
        <v>กลางคืน</v>
      </c>
      <c r="J126" s="1" t="str">
        <f t="shared" si="4"/>
        <v>ลึก</v>
      </c>
      <c r="K126">
        <f t="shared" si="5"/>
        <v>-653.79999999999995</v>
      </c>
    </row>
    <row r="127" spans="1:11" x14ac:dyDescent="0.25">
      <c r="A127" s="1">
        <v>126</v>
      </c>
      <c r="B127" s="1" t="s">
        <v>2632</v>
      </c>
      <c r="C127" s="1" t="s">
        <v>2373</v>
      </c>
      <c r="D127" s="1">
        <v>-7.2729999999999997</v>
      </c>
      <c r="E127" s="1">
        <v>122.28100000000001</v>
      </c>
      <c r="F127" s="1">
        <v>613</v>
      </c>
      <c r="G127" s="1">
        <v>5.6</v>
      </c>
      <c r="H127" t="s">
        <v>523</v>
      </c>
      <c r="I127" s="1" t="str">
        <f t="shared" si="3"/>
        <v>กลางวัน</v>
      </c>
      <c r="J127" s="1" t="str">
        <f t="shared" si="4"/>
        <v>ลึก</v>
      </c>
      <c r="K127">
        <f t="shared" si="5"/>
        <v>-613</v>
      </c>
    </row>
    <row r="128" spans="1:11" x14ac:dyDescent="0.25">
      <c r="A128" s="1">
        <v>127</v>
      </c>
      <c r="B128" s="1" t="s">
        <v>2633</v>
      </c>
      <c r="C128" s="1" t="s">
        <v>2374</v>
      </c>
      <c r="D128" s="1">
        <v>-7.3390000000000004</v>
      </c>
      <c r="E128" s="1">
        <v>122.238</v>
      </c>
      <c r="F128" s="1">
        <v>631.9</v>
      </c>
      <c r="G128" s="1">
        <v>5.4</v>
      </c>
      <c r="H128" t="s">
        <v>527</v>
      </c>
      <c r="I128" s="1" t="str">
        <f t="shared" si="3"/>
        <v>กลางวัน</v>
      </c>
      <c r="J128" s="1" t="str">
        <f t="shared" si="4"/>
        <v>ลึก</v>
      </c>
      <c r="K128">
        <f t="shared" si="5"/>
        <v>-631.9</v>
      </c>
    </row>
    <row r="129" spans="1:11" x14ac:dyDescent="0.25">
      <c r="A129" s="1">
        <v>128</v>
      </c>
      <c r="B129" s="1" t="s">
        <v>2634</v>
      </c>
      <c r="C129" s="1" t="s">
        <v>2375</v>
      </c>
      <c r="D129" s="1">
        <v>-6.8959999999999999</v>
      </c>
      <c r="E129" s="1">
        <v>125.054</v>
      </c>
      <c r="F129" s="1">
        <v>540.79999999999995</v>
      </c>
      <c r="G129" s="1">
        <v>5.2</v>
      </c>
      <c r="H129" t="s">
        <v>361</v>
      </c>
      <c r="I129" s="1" t="str">
        <f t="shared" si="3"/>
        <v>กลางคืน</v>
      </c>
      <c r="J129" s="1" t="str">
        <f t="shared" si="4"/>
        <v>ลึก</v>
      </c>
      <c r="K129">
        <f t="shared" si="5"/>
        <v>-540.79999999999995</v>
      </c>
    </row>
    <row r="130" spans="1:11" x14ac:dyDescent="0.25">
      <c r="A130" s="1">
        <v>129</v>
      </c>
      <c r="B130" s="1" t="s">
        <v>2635</v>
      </c>
      <c r="C130" s="1" t="s">
        <v>2376</v>
      </c>
      <c r="D130" s="1">
        <v>-6.9089999999999998</v>
      </c>
      <c r="E130" s="1">
        <v>124.971</v>
      </c>
      <c r="F130" s="1">
        <v>529.4</v>
      </c>
      <c r="G130" s="1">
        <v>5.2</v>
      </c>
      <c r="H130" t="s">
        <v>534</v>
      </c>
      <c r="I130" s="1" t="str">
        <f t="shared" si="3"/>
        <v>กลางวัน</v>
      </c>
      <c r="J130" s="1" t="str">
        <f t="shared" si="4"/>
        <v>ลึก</v>
      </c>
      <c r="K130">
        <f t="shared" si="5"/>
        <v>-529.4</v>
      </c>
    </row>
    <row r="131" spans="1:11" x14ac:dyDescent="0.25">
      <c r="A131" s="1">
        <v>130</v>
      </c>
      <c r="B131" s="1" t="s">
        <v>2636</v>
      </c>
      <c r="C131" s="1" t="s">
        <v>2377</v>
      </c>
      <c r="D131" s="1">
        <v>-7.351</v>
      </c>
      <c r="E131" s="1">
        <v>121.812</v>
      </c>
      <c r="F131" s="1">
        <v>293.5</v>
      </c>
      <c r="G131" s="1">
        <v>4.5999999999999996</v>
      </c>
      <c r="H131" t="s">
        <v>538</v>
      </c>
      <c r="I131" s="1" t="str">
        <f t="shared" ref="I131:I194" si="6">IF(AND(HOUR(C131)&gt;=6, HOUR(C131)&lt;=18),"กลางวัน","กลางคืน")</f>
        <v>กลางวัน</v>
      </c>
      <c r="J131" s="1" t="str">
        <f t="shared" ref="J131:J194" si="7">IF(F131&lt;=10,"ตื้นมาก",IF(F131&lt;=30,"ตื้น",IF(F131&lt;70,"กลาง","ลึก")))</f>
        <v>ลึก</v>
      </c>
      <c r="K131">
        <f t="shared" ref="K131:K194" si="8">F131*-1</f>
        <v>-293.5</v>
      </c>
    </row>
    <row r="132" spans="1:11" x14ac:dyDescent="0.25">
      <c r="A132" s="1">
        <v>131</v>
      </c>
      <c r="B132" s="1" t="s">
        <v>2637</v>
      </c>
      <c r="C132" s="1" t="s">
        <v>2378</v>
      </c>
      <c r="D132" s="1">
        <v>-7.202</v>
      </c>
      <c r="E132" s="1">
        <v>123.871</v>
      </c>
      <c r="F132" s="1">
        <v>577.6</v>
      </c>
      <c r="G132" s="1">
        <v>5.3</v>
      </c>
      <c r="H132" t="s">
        <v>542</v>
      </c>
      <c r="I132" s="1" t="str">
        <f t="shared" si="6"/>
        <v>กลางวัน</v>
      </c>
      <c r="J132" s="1" t="str">
        <f t="shared" si="7"/>
        <v>ลึก</v>
      </c>
      <c r="K132">
        <f t="shared" si="8"/>
        <v>-577.6</v>
      </c>
    </row>
    <row r="133" spans="1:11" x14ac:dyDescent="0.25">
      <c r="A133" s="1">
        <v>132</v>
      </c>
      <c r="B133" s="1" t="s">
        <v>2638</v>
      </c>
      <c r="C133" s="1" t="s">
        <v>2379</v>
      </c>
      <c r="D133" s="1">
        <v>-7.1829999999999998</v>
      </c>
      <c r="E133" s="1">
        <v>124.765</v>
      </c>
      <c r="F133" s="1">
        <v>554.1</v>
      </c>
      <c r="G133" s="1">
        <v>5.2</v>
      </c>
      <c r="H133" t="s">
        <v>546</v>
      </c>
      <c r="I133" s="1" t="str">
        <f t="shared" si="6"/>
        <v>กลางวัน</v>
      </c>
      <c r="J133" s="1" t="str">
        <f t="shared" si="7"/>
        <v>ลึก</v>
      </c>
      <c r="K133">
        <f t="shared" si="8"/>
        <v>-554.1</v>
      </c>
    </row>
    <row r="134" spans="1:11" x14ac:dyDescent="0.25">
      <c r="A134" s="1">
        <v>133</v>
      </c>
      <c r="B134" s="1" t="s">
        <v>2639</v>
      </c>
      <c r="C134" s="1" t="s">
        <v>2380</v>
      </c>
      <c r="D134" s="1">
        <v>-7.1520000000000001</v>
      </c>
      <c r="E134" s="1">
        <v>120.465</v>
      </c>
      <c r="F134" s="1">
        <v>566.5</v>
      </c>
      <c r="G134" s="1">
        <v>5.0999999999999996</v>
      </c>
      <c r="H134" t="s">
        <v>550</v>
      </c>
      <c r="I134" s="1" t="str">
        <f t="shared" si="6"/>
        <v>กลางวัน</v>
      </c>
      <c r="J134" s="1" t="str">
        <f t="shared" si="7"/>
        <v>ลึก</v>
      </c>
      <c r="K134">
        <f t="shared" si="8"/>
        <v>-566.5</v>
      </c>
    </row>
    <row r="135" spans="1:11" x14ac:dyDescent="0.25">
      <c r="A135" s="1">
        <v>134</v>
      </c>
      <c r="B135" s="1" t="s">
        <v>2640</v>
      </c>
      <c r="C135" s="1" t="s">
        <v>2381</v>
      </c>
      <c r="D135" s="1">
        <v>-7.2290000000000001</v>
      </c>
      <c r="E135" s="1">
        <v>120.26</v>
      </c>
      <c r="F135" s="1">
        <v>391.7</v>
      </c>
      <c r="G135" s="1">
        <v>4.7</v>
      </c>
      <c r="H135" t="s">
        <v>483</v>
      </c>
      <c r="I135" s="1" t="str">
        <f t="shared" si="6"/>
        <v>กลางคืน</v>
      </c>
      <c r="J135" s="1" t="str">
        <f t="shared" si="7"/>
        <v>ลึก</v>
      </c>
      <c r="K135">
        <f t="shared" si="8"/>
        <v>-391.7</v>
      </c>
    </row>
    <row r="136" spans="1:11" x14ac:dyDescent="0.25">
      <c r="A136" s="1">
        <v>135</v>
      </c>
      <c r="B136" s="1" t="s">
        <v>2641</v>
      </c>
      <c r="C136" s="1" t="s">
        <v>2382</v>
      </c>
      <c r="D136" s="1">
        <v>-7.3419999999999996</v>
      </c>
      <c r="E136" s="1">
        <v>120.19</v>
      </c>
      <c r="F136" s="1">
        <v>424.1</v>
      </c>
      <c r="G136" s="1">
        <v>5.7</v>
      </c>
      <c r="H136" t="s">
        <v>557</v>
      </c>
      <c r="I136" s="1" t="str">
        <f t="shared" si="6"/>
        <v>กลางวัน</v>
      </c>
      <c r="J136" s="1" t="str">
        <f t="shared" si="7"/>
        <v>ลึก</v>
      </c>
      <c r="K136">
        <f t="shared" si="8"/>
        <v>-424.1</v>
      </c>
    </row>
    <row r="137" spans="1:11" x14ac:dyDescent="0.25">
      <c r="A137" s="1">
        <v>136</v>
      </c>
      <c r="B137" s="1" t="s">
        <v>2642</v>
      </c>
      <c r="C137" s="1" t="s">
        <v>2383</v>
      </c>
      <c r="D137" s="1">
        <v>-6.8550000000000004</v>
      </c>
      <c r="E137" s="1">
        <v>122.434</v>
      </c>
      <c r="F137" s="1">
        <v>268.89999999999998</v>
      </c>
      <c r="G137" s="1">
        <v>4.9000000000000004</v>
      </c>
      <c r="H137" t="s">
        <v>561</v>
      </c>
      <c r="I137" s="1" t="str">
        <f t="shared" si="6"/>
        <v>กลางวัน</v>
      </c>
      <c r="J137" s="1" t="str">
        <f t="shared" si="7"/>
        <v>ลึก</v>
      </c>
      <c r="K137">
        <f t="shared" si="8"/>
        <v>-268.89999999999998</v>
      </c>
    </row>
    <row r="138" spans="1:11" x14ac:dyDescent="0.25">
      <c r="A138" s="1">
        <v>137</v>
      </c>
      <c r="B138" s="1" t="s">
        <v>2643</v>
      </c>
      <c r="C138" s="1" t="s">
        <v>2384</v>
      </c>
      <c r="D138" s="1">
        <v>-7.3810000000000002</v>
      </c>
      <c r="E138" s="1">
        <v>120.295</v>
      </c>
      <c r="F138" s="1">
        <v>595.6</v>
      </c>
      <c r="G138" s="1">
        <v>5.8</v>
      </c>
      <c r="H138" t="s">
        <v>557</v>
      </c>
      <c r="I138" s="1" t="str">
        <f t="shared" si="6"/>
        <v>กลางวัน</v>
      </c>
      <c r="J138" s="1" t="str">
        <f t="shared" si="7"/>
        <v>ลึก</v>
      </c>
      <c r="K138">
        <f t="shared" si="8"/>
        <v>-595.6</v>
      </c>
    </row>
    <row r="139" spans="1:11" x14ac:dyDescent="0.25">
      <c r="A139" s="1">
        <v>138</v>
      </c>
      <c r="B139" s="1" t="s">
        <v>2644</v>
      </c>
      <c r="C139" s="1" t="s">
        <v>2385</v>
      </c>
      <c r="D139" s="1">
        <v>-5.8250000000000002</v>
      </c>
      <c r="E139" s="1">
        <v>125.116</v>
      </c>
      <c r="F139" s="1">
        <v>31.3</v>
      </c>
      <c r="G139" s="1">
        <v>4.8</v>
      </c>
      <c r="H139" t="s">
        <v>37</v>
      </c>
      <c r="I139" s="1" t="str">
        <f t="shared" si="6"/>
        <v>กลางคืน</v>
      </c>
      <c r="J139" s="1" t="str">
        <f t="shared" si="7"/>
        <v>กลาง</v>
      </c>
      <c r="K139">
        <f t="shared" si="8"/>
        <v>-31.3</v>
      </c>
    </row>
    <row r="140" spans="1:11" x14ac:dyDescent="0.25">
      <c r="A140" s="1">
        <v>139</v>
      </c>
      <c r="B140" s="1" t="s">
        <v>2645</v>
      </c>
      <c r="C140" s="1" t="s">
        <v>2386</v>
      </c>
      <c r="D140" s="1">
        <v>-7.4669999999999996</v>
      </c>
      <c r="E140" s="1">
        <v>123.392</v>
      </c>
      <c r="F140" s="1">
        <v>290.60000000000002</v>
      </c>
      <c r="G140" s="1">
        <v>4.5999999999999996</v>
      </c>
      <c r="H140" t="s">
        <v>571</v>
      </c>
      <c r="I140" s="1" t="str">
        <f t="shared" si="6"/>
        <v>กลางวัน</v>
      </c>
      <c r="J140" s="1" t="str">
        <f t="shared" si="7"/>
        <v>ลึก</v>
      </c>
      <c r="K140">
        <f t="shared" si="8"/>
        <v>-290.60000000000002</v>
      </c>
    </row>
    <row r="141" spans="1:11" x14ac:dyDescent="0.25">
      <c r="A141" s="1">
        <v>140</v>
      </c>
      <c r="B141" s="1" t="s">
        <v>2646</v>
      </c>
      <c r="C141" s="1" t="s">
        <v>2387</v>
      </c>
      <c r="D141" s="1">
        <v>-6.9450000000000003</v>
      </c>
      <c r="E141" s="1">
        <v>123.39100000000001</v>
      </c>
      <c r="F141" s="1">
        <v>612.20000000000005</v>
      </c>
      <c r="G141" s="1">
        <v>4.7</v>
      </c>
      <c r="H141" t="s">
        <v>575</v>
      </c>
      <c r="I141" s="1" t="str">
        <f t="shared" si="6"/>
        <v>กลางวัน</v>
      </c>
      <c r="J141" s="1" t="str">
        <f t="shared" si="7"/>
        <v>ลึก</v>
      </c>
      <c r="K141">
        <f t="shared" si="8"/>
        <v>-612.20000000000005</v>
      </c>
    </row>
    <row r="142" spans="1:11" x14ac:dyDescent="0.25">
      <c r="A142" s="1">
        <v>141</v>
      </c>
      <c r="B142" s="1" t="s">
        <v>2646</v>
      </c>
      <c r="C142" s="1" t="s">
        <v>2388</v>
      </c>
      <c r="D142" s="1">
        <v>-6.9889999999999999</v>
      </c>
      <c r="E142" s="1">
        <v>123.28</v>
      </c>
      <c r="F142" s="1">
        <v>612.29999999999995</v>
      </c>
      <c r="G142" s="1">
        <v>4.8</v>
      </c>
      <c r="H142" t="s">
        <v>579</v>
      </c>
      <c r="I142" s="1" t="str">
        <f t="shared" si="6"/>
        <v>กลางวัน</v>
      </c>
      <c r="J142" s="1" t="str">
        <f t="shared" si="7"/>
        <v>ลึก</v>
      </c>
      <c r="K142">
        <f t="shared" si="8"/>
        <v>-612.29999999999995</v>
      </c>
    </row>
    <row r="143" spans="1:11" x14ac:dyDescent="0.25">
      <c r="A143" s="1">
        <v>142</v>
      </c>
      <c r="B143" s="1" t="s">
        <v>2646</v>
      </c>
      <c r="C143" s="1" t="s">
        <v>2389</v>
      </c>
      <c r="D143" s="1">
        <v>-6.9930000000000003</v>
      </c>
      <c r="E143" s="1">
        <v>123.4</v>
      </c>
      <c r="F143" s="1">
        <v>626.20000000000005</v>
      </c>
      <c r="G143" s="1">
        <v>5.2</v>
      </c>
      <c r="H143" t="s">
        <v>583</v>
      </c>
      <c r="I143" s="1" t="str">
        <f t="shared" si="6"/>
        <v>กลางวัน</v>
      </c>
      <c r="J143" s="1" t="str">
        <f t="shared" si="7"/>
        <v>ลึก</v>
      </c>
      <c r="K143">
        <f t="shared" si="8"/>
        <v>-626.20000000000005</v>
      </c>
    </row>
    <row r="144" spans="1:11" x14ac:dyDescent="0.25">
      <c r="A144" s="1">
        <v>143</v>
      </c>
      <c r="B144" s="1" t="s">
        <v>2646</v>
      </c>
      <c r="C144" s="1" t="s">
        <v>2390</v>
      </c>
      <c r="D144" s="1">
        <v>-7.101</v>
      </c>
      <c r="E144" s="1">
        <v>123.386</v>
      </c>
      <c r="F144" s="1">
        <v>625.9</v>
      </c>
      <c r="G144" s="1">
        <v>5.4</v>
      </c>
      <c r="H144" t="s">
        <v>587</v>
      </c>
      <c r="I144" s="1" t="str">
        <f t="shared" si="6"/>
        <v>กลางวัน</v>
      </c>
      <c r="J144" s="1" t="str">
        <f t="shared" si="7"/>
        <v>ลึก</v>
      </c>
      <c r="K144">
        <f t="shared" si="8"/>
        <v>-625.9</v>
      </c>
    </row>
    <row r="145" spans="1:11" x14ac:dyDescent="0.25">
      <c r="A145" s="1">
        <v>144</v>
      </c>
      <c r="B145" s="1" t="s">
        <v>2646</v>
      </c>
      <c r="C145" s="1" t="s">
        <v>2391</v>
      </c>
      <c r="D145" s="1">
        <v>-6.9569999999999999</v>
      </c>
      <c r="E145" s="1">
        <v>123.374</v>
      </c>
      <c r="F145" s="1">
        <v>626.1</v>
      </c>
      <c r="G145" s="1">
        <v>4.5</v>
      </c>
      <c r="H145" t="s">
        <v>591</v>
      </c>
      <c r="I145" s="1" t="str">
        <f t="shared" si="6"/>
        <v>กลางวัน</v>
      </c>
      <c r="J145" s="1" t="str">
        <f t="shared" si="7"/>
        <v>ลึก</v>
      </c>
      <c r="K145">
        <f t="shared" si="8"/>
        <v>-626.1</v>
      </c>
    </row>
    <row r="146" spans="1:11" x14ac:dyDescent="0.25">
      <c r="A146" s="1">
        <v>145</v>
      </c>
      <c r="B146" s="1" t="s">
        <v>2647</v>
      </c>
      <c r="C146" s="1" t="s">
        <v>2392</v>
      </c>
      <c r="D146" s="1">
        <v>-7.3289999999999997</v>
      </c>
      <c r="E146" s="1">
        <v>121.626</v>
      </c>
      <c r="F146" s="1">
        <v>506.5</v>
      </c>
      <c r="G146" s="1">
        <v>5</v>
      </c>
      <c r="H146" t="s">
        <v>595</v>
      </c>
      <c r="I146" s="1" t="str">
        <f t="shared" si="6"/>
        <v>กลางคืน</v>
      </c>
      <c r="J146" s="1" t="str">
        <f t="shared" si="7"/>
        <v>ลึก</v>
      </c>
      <c r="K146">
        <f t="shared" si="8"/>
        <v>-506.5</v>
      </c>
    </row>
    <row r="147" spans="1:11" x14ac:dyDescent="0.25">
      <c r="A147" s="1">
        <v>146</v>
      </c>
      <c r="B147" s="1" t="s">
        <v>2648</v>
      </c>
      <c r="C147" s="1" t="s">
        <v>2393</v>
      </c>
      <c r="D147" s="1">
        <v>-7.32</v>
      </c>
      <c r="E147" s="1">
        <v>120.69199999999999</v>
      </c>
      <c r="F147" s="1">
        <v>490.1</v>
      </c>
      <c r="G147" s="1">
        <v>4.5999999999999996</v>
      </c>
      <c r="H147" t="s">
        <v>599</v>
      </c>
      <c r="I147" s="1" t="str">
        <f t="shared" si="6"/>
        <v>กลางวัน</v>
      </c>
      <c r="J147" s="1" t="str">
        <f t="shared" si="7"/>
        <v>ลึก</v>
      </c>
      <c r="K147">
        <f t="shared" si="8"/>
        <v>-490.1</v>
      </c>
    </row>
    <row r="148" spans="1:11" x14ac:dyDescent="0.25">
      <c r="A148" s="1">
        <v>147</v>
      </c>
      <c r="B148" s="1" t="s">
        <v>2649</v>
      </c>
      <c r="C148" s="1" t="s">
        <v>2394</v>
      </c>
      <c r="D148" s="1">
        <v>-6.9740000000000002</v>
      </c>
      <c r="E148" s="1">
        <v>122.407</v>
      </c>
      <c r="F148" s="1">
        <v>33</v>
      </c>
      <c r="G148" s="1">
        <v>4.5999999999999996</v>
      </c>
      <c r="H148" t="s">
        <v>603</v>
      </c>
      <c r="I148" s="1" t="str">
        <f t="shared" si="6"/>
        <v>กลางคืน</v>
      </c>
      <c r="J148" s="1" t="str">
        <f t="shared" si="7"/>
        <v>กลาง</v>
      </c>
      <c r="K148">
        <f t="shared" si="8"/>
        <v>-33</v>
      </c>
    </row>
    <row r="149" spans="1:11" x14ac:dyDescent="0.25">
      <c r="A149" s="1">
        <v>148</v>
      </c>
      <c r="B149" s="1" t="s">
        <v>2650</v>
      </c>
      <c r="C149" s="1" t="s">
        <v>2395</v>
      </c>
      <c r="D149" s="1">
        <v>-7.1909999999999998</v>
      </c>
      <c r="E149" s="1">
        <v>122.715</v>
      </c>
      <c r="F149" s="1">
        <v>620.29999999999995</v>
      </c>
      <c r="G149" s="1">
        <v>5.8</v>
      </c>
      <c r="H149" t="s">
        <v>607</v>
      </c>
      <c r="I149" s="1" t="str">
        <f t="shared" si="6"/>
        <v>กลางคืน</v>
      </c>
      <c r="J149" s="1" t="str">
        <f t="shared" si="7"/>
        <v>ลึก</v>
      </c>
      <c r="K149">
        <f t="shared" si="8"/>
        <v>-620.29999999999995</v>
      </c>
    </row>
    <row r="150" spans="1:11" x14ac:dyDescent="0.25">
      <c r="A150" s="1">
        <v>149</v>
      </c>
      <c r="B150" s="1" t="s">
        <v>2651</v>
      </c>
      <c r="C150" s="1" t="s">
        <v>2396</v>
      </c>
      <c r="D150" s="1">
        <v>-7.2370000000000001</v>
      </c>
      <c r="E150" s="1">
        <v>122.68899999999999</v>
      </c>
      <c r="F150" s="1">
        <v>632.20000000000005</v>
      </c>
      <c r="G150" s="1">
        <v>5.4</v>
      </c>
      <c r="H150" t="s">
        <v>611</v>
      </c>
      <c r="I150" s="1" t="str">
        <f t="shared" si="6"/>
        <v>กลางคืน</v>
      </c>
      <c r="J150" s="1" t="str">
        <f t="shared" si="7"/>
        <v>ลึก</v>
      </c>
      <c r="K150">
        <f t="shared" si="8"/>
        <v>-632.20000000000005</v>
      </c>
    </row>
    <row r="151" spans="1:11" x14ac:dyDescent="0.25">
      <c r="A151" s="1">
        <v>150</v>
      </c>
      <c r="B151" s="1" t="s">
        <v>2652</v>
      </c>
      <c r="C151" s="1" t="s">
        <v>2397</v>
      </c>
      <c r="D151" s="1">
        <v>-6.09</v>
      </c>
      <c r="E151" s="1">
        <v>122.69199999999999</v>
      </c>
      <c r="F151" s="1">
        <v>33</v>
      </c>
      <c r="G151" s="1">
        <v>4.7</v>
      </c>
      <c r="H151" t="s">
        <v>615</v>
      </c>
      <c r="I151" s="1" t="str">
        <f t="shared" si="6"/>
        <v>กลางวัน</v>
      </c>
      <c r="J151" s="1" t="str">
        <f t="shared" si="7"/>
        <v>กลาง</v>
      </c>
      <c r="K151">
        <f t="shared" si="8"/>
        <v>-33</v>
      </c>
    </row>
    <row r="152" spans="1:11" x14ac:dyDescent="0.25">
      <c r="A152" s="1">
        <v>151</v>
      </c>
      <c r="B152" s="1" t="s">
        <v>2653</v>
      </c>
      <c r="C152" s="1" t="s">
        <v>2306</v>
      </c>
      <c r="D152" s="1">
        <v>-6.99</v>
      </c>
      <c r="E152" s="1">
        <v>124.807</v>
      </c>
      <c r="F152" s="1">
        <v>551.5</v>
      </c>
      <c r="G152" s="1">
        <v>5.3</v>
      </c>
      <c r="H152" t="s">
        <v>619</v>
      </c>
      <c r="I152" s="1" t="str">
        <f t="shared" si="6"/>
        <v>กลางคืน</v>
      </c>
      <c r="J152" s="1" t="str">
        <f t="shared" si="7"/>
        <v>ลึก</v>
      </c>
      <c r="K152">
        <f t="shared" si="8"/>
        <v>-551.5</v>
      </c>
    </row>
    <row r="153" spans="1:11" x14ac:dyDescent="0.25">
      <c r="A153" s="1">
        <v>152</v>
      </c>
      <c r="B153" s="1" t="s">
        <v>2654</v>
      </c>
      <c r="C153" s="1" t="s">
        <v>2398</v>
      </c>
      <c r="D153" s="1">
        <v>-7.1829999999999998</v>
      </c>
      <c r="E153" s="1">
        <v>125.242</v>
      </c>
      <c r="F153" s="1">
        <v>527.1</v>
      </c>
      <c r="G153" s="1">
        <v>5.3</v>
      </c>
      <c r="H153" t="s">
        <v>623</v>
      </c>
      <c r="I153" s="1" t="str">
        <f t="shared" si="6"/>
        <v>กลางวัน</v>
      </c>
      <c r="J153" s="1" t="str">
        <f t="shared" si="7"/>
        <v>ลึก</v>
      </c>
      <c r="K153">
        <f t="shared" si="8"/>
        <v>-527.1</v>
      </c>
    </row>
    <row r="154" spans="1:11" x14ac:dyDescent="0.25">
      <c r="A154" s="1">
        <v>153</v>
      </c>
      <c r="B154" s="1" t="s">
        <v>2655</v>
      </c>
      <c r="C154" s="1" t="s">
        <v>2399</v>
      </c>
      <c r="D154" s="1">
        <v>-7.3630000000000004</v>
      </c>
      <c r="E154" s="1">
        <v>120.363</v>
      </c>
      <c r="F154" s="1">
        <v>588.9</v>
      </c>
      <c r="G154" s="1">
        <v>7.1</v>
      </c>
      <c r="H154" t="s">
        <v>321</v>
      </c>
      <c r="I154" s="1" t="str">
        <f t="shared" si="6"/>
        <v>กลางคืน</v>
      </c>
      <c r="J154" s="1" t="str">
        <f t="shared" si="7"/>
        <v>ลึก</v>
      </c>
      <c r="K154">
        <f t="shared" si="8"/>
        <v>-588.9</v>
      </c>
    </row>
    <row r="155" spans="1:11" x14ac:dyDescent="0.25">
      <c r="A155" s="1">
        <v>154</v>
      </c>
      <c r="B155" s="1" t="s">
        <v>2656</v>
      </c>
      <c r="C155" s="1" t="s">
        <v>2400</v>
      </c>
      <c r="D155" s="1">
        <v>-7.4329999999999998</v>
      </c>
      <c r="E155" s="1">
        <v>120.426</v>
      </c>
      <c r="F155" s="1">
        <v>636.29999999999995</v>
      </c>
      <c r="G155" s="1">
        <v>4.5999999999999996</v>
      </c>
      <c r="H155" t="s">
        <v>630</v>
      </c>
      <c r="I155" s="1" t="str">
        <f t="shared" si="6"/>
        <v>กลางคืน</v>
      </c>
      <c r="J155" s="1" t="str">
        <f t="shared" si="7"/>
        <v>ลึก</v>
      </c>
      <c r="K155">
        <f t="shared" si="8"/>
        <v>-636.29999999999995</v>
      </c>
    </row>
    <row r="156" spans="1:11" x14ac:dyDescent="0.25">
      <c r="A156" s="1">
        <v>155</v>
      </c>
      <c r="B156" s="1" t="s">
        <v>2657</v>
      </c>
      <c r="C156" s="1" t="s">
        <v>2401</v>
      </c>
      <c r="D156" s="1">
        <v>-7.0039999999999996</v>
      </c>
      <c r="E156" s="1">
        <v>125.074</v>
      </c>
      <c r="F156" s="1">
        <v>567</v>
      </c>
      <c r="G156" s="1">
        <v>5</v>
      </c>
      <c r="H156" t="s">
        <v>634</v>
      </c>
      <c r="I156" s="1" t="str">
        <f t="shared" si="6"/>
        <v>กลางวัน</v>
      </c>
      <c r="J156" s="1" t="str">
        <f t="shared" si="7"/>
        <v>ลึก</v>
      </c>
      <c r="K156">
        <f t="shared" si="8"/>
        <v>-567</v>
      </c>
    </row>
    <row r="157" spans="1:11" x14ac:dyDescent="0.25">
      <c r="A157" s="1">
        <v>156</v>
      </c>
      <c r="B157" s="1" t="s">
        <v>2658</v>
      </c>
      <c r="C157" s="1" t="s">
        <v>2402</v>
      </c>
      <c r="D157" s="1">
        <v>-7.2229999999999999</v>
      </c>
      <c r="E157" s="1">
        <v>120.5</v>
      </c>
      <c r="F157" s="1">
        <v>521.79999999999995</v>
      </c>
      <c r="G157" s="1">
        <v>4.9000000000000004</v>
      </c>
      <c r="H157" t="s">
        <v>638</v>
      </c>
      <c r="I157" s="1" t="str">
        <f t="shared" si="6"/>
        <v>กลางวัน</v>
      </c>
      <c r="J157" s="1" t="str">
        <f t="shared" si="7"/>
        <v>ลึก</v>
      </c>
      <c r="K157">
        <f t="shared" si="8"/>
        <v>-521.79999999999995</v>
      </c>
    </row>
    <row r="158" spans="1:11" x14ac:dyDescent="0.25">
      <c r="A158" s="1">
        <v>157</v>
      </c>
      <c r="B158" s="1" t="s">
        <v>2659</v>
      </c>
      <c r="C158" s="1" t="s">
        <v>2403</v>
      </c>
      <c r="D158" s="1">
        <v>-6.7169999999999996</v>
      </c>
      <c r="E158" s="1">
        <v>124.82899999999999</v>
      </c>
      <c r="F158" s="1">
        <v>590.29999999999995</v>
      </c>
      <c r="G158" s="1">
        <v>4.5999999999999996</v>
      </c>
      <c r="H158" t="s">
        <v>642</v>
      </c>
      <c r="I158" s="1" t="str">
        <f t="shared" si="6"/>
        <v>กลางคืน</v>
      </c>
      <c r="J158" s="1" t="str">
        <f t="shared" si="7"/>
        <v>ลึก</v>
      </c>
      <c r="K158">
        <f t="shared" si="8"/>
        <v>-590.29999999999995</v>
      </c>
    </row>
    <row r="159" spans="1:11" x14ac:dyDescent="0.25">
      <c r="A159" s="1">
        <v>158</v>
      </c>
      <c r="B159" s="1" t="s">
        <v>2660</v>
      </c>
      <c r="C159" s="1" t="s">
        <v>2404</v>
      </c>
      <c r="D159" s="1">
        <v>-7.0149999999999997</v>
      </c>
      <c r="E159" s="1">
        <v>124.913</v>
      </c>
      <c r="F159" s="1">
        <v>546.5</v>
      </c>
      <c r="G159" s="1">
        <v>5</v>
      </c>
      <c r="H159" t="s">
        <v>646</v>
      </c>
      <c r="I159" s="1" t="str">
        <f t="shared" si="6"/>
        <v>กลางวัน</v>
      </c>
      <c r="J159" s="1" t="str">
        <f t="shared" si="7"/>
        <v>ลึก</v>
      </c>
      <c r="K159">
        <f t="shared" si="8"/>
        <v>-546.5</v>
      </c>
    </row>
    <row r="160" spans="1:11" x14ac:dyDescent="0.25">
      <c r="A160" s="1">
        <v>159</v>
      </c>
      <c r="B160" s="1" t="s">
        <v>2661</v>
      </c>
      <c r="C160" s="1" t="s">
        <v>2405</v>
      </c>
      <c r="D160" s="1">
        <v>-6.2229999999999999</v>
      </c>
      <c r="E160" s="1">
        <v>124.28700000000001</v>
      </c>
      <c r="F160" s="1">
        <v>35.5</v>
      </c>
      <c r="G160" s="1">
        <v>5.2</v>
      </c>
      <c r="H160" t="s">
        <v>650</v>
      </c>
      <c r="I160" s="1" t="str">
        <f t="shared" si="6"/>
        <v>กลางวัน</v>
      </c>
      <c r="J160" s="1" t="str">
        <f t="shared" si="7"/>
        <v>กลาง</v>
      </c>
      <c r="K160">
        <f t="shared" si="8"/>
        <v>-35.5</v>
      </c>
    </row>
    <row r="161" spans="1:11" x14ac:dyDescent="0.25">
      <c r="A161" s="1">
        <v>160</v>
      </c>
      <c r="B161" s="1" t="s">
        <v>2662</v>
      </c>
      <c r="C161" s="1" t="s">
        <v>2406</v>
      </c>
      <c r="D161" s="1">
        <v>-6.2779999999999996</v>
      </c>
      <c r="E161" s="1">
        <v>124.294</v>
      </c>
      <c r="F161" s="1">
        <v>33</v>
      </c>
      <c r="G161" s="1">
        <v>5.2</v>
      </c>
      <c r="H161" t="s">
        <v>654</v>
      </c>
      <c r="I161" s="1" t="str">
        <f t="shared" si="6"/>
        <v>กลางวัน</v>
      </c>
      <c r="J161" s="1" t="str">
        <f t="shared" si="7"/>
        <v>กลาง</v>
      </c>
      <c r="K161">
        <f t="shared" si="8"/>
        <v>-33</v>
      </c>
    </row>
    <row r="162" spans="1:11" x14ac:dyDescent="0.25">
      <c r="A162" s="1">
        <v>161</v>
      </c>
      <c r="B162" s="1" t="s">
        <v>2663</v>
      </c>
      <c r="C162" s="1" t="s">
        <v>2407</v>
      </c>
      <c r="D162" s="1">
        <v>-7.202</v>
      </c>
      <c r="E162" s="1">
        <v>122.996</v>
      </c>
      <c r="F162" s="1">
        <v>544.79999999999995</v>
      </c>
      <c r="G162" s="1">
        <v>5</v>
      </c>
      <c r="H162" t="s">
        <v>240</v>
      </c>
      <c r="I162" s="1" t="str">
        <f t="shared" si="6"/>
        <v>กลางวัน</v>
      </c>
      <c r="J162" s="1" t="str">
        <f t="shared" si="7"/>
        <v>ลึก</v>
      </c>
      <c r="K162">
        <f t="shared" si="8"/>
        <v>-544.79999999999995</v>
      </c>
    </row>
    <row r="163" spans="1:11" x14ac:dyDescent="0.25">
      <c r="A163" s="1">
        <v>162</v>
      </c>
      <c r="B163" s="1" t="s">
        <v>2664</v>
      </c>
      <c r="C163" s="1" t="s">
        <v>2408</v>
      </c>
      <c r="D163" s="1">
        <v>-7.3289999999999997</v>
      </c>
      <c r="E163" s="1">
        <v>120.416</v>
      </c>
      <c r="F163" s="1">
        <v>495.2</v>
      </c>
      <c r="G163" s="1">
        <v>4.9000000000000004</v>
      </c>
      <c r="H163" t="s">
        <v>236</v>
      </c>
      <c r="I163" s="1" t="str">
        <f t="shared" si="6"/>
        <v>กลางวัน</v>
      </c>
      <c r="J163" s="1" t="str">
        <f t="shared" si="7"/>
        <v>ลึก</v>
      </c>
      <c r="K163">
        <f t="shared" si="8"/>
        <v>-495.2</v>
      </c>
    </row>
    <row r="164" spans="1:11" x14ac:dyDescent="0.25">
      <c r="A164" s="1">
        <v>163</v>
      </c>
      <c r="B164" s="1" t="s">
        <v>2665</v>
      </c>
      <c r="C164" s="1" t="s">
        <v>2409</v>
      </c>
      <c r="D164" s="1">
        <v>-7.4950000000000001</v>
      </c>
      <c r="E164" s="1">
        <v>119.423</v>
      </c>
      <c r="F164" s="1">
        <v>272.39999999999998</v>
      </c>
      <c r="G164" s="1">
        <v>4.5</v>
      </c>
      <c r="H164" t="s">
        <v>664</v>
      </c>
      <c r="I164" s="1" t="str">
        <f t="shared" si="6"/>
        <v>กลางวัน</v>
      </c>
      <c r="J164" s="1" t="str">
        <f t="shared" si="7"/>
        <v>ลึก</v>
      </c>
      <c r="K164">
        <f t="shared" si="8"/>
        <v>-272.39999999999998</v>
      </c>
    </row>
    <row r="165" spans="1:11" x14ac:dyDescent="0.25">
      <c r="A165" s="1">
        <v>164</v>
      </c>
      <c r="B165" s="1" t="s">
        <v>2666</v>
      </c>
      <c r="C165" s="1" t="s">
        <v>2410</v>
      </c>
      <c r="D165" s="1">
        <v>-7.2039999999999997</v>
      </c>
      <c r="E165" s="1">
        <v>122.533</v>
      </c>
      <c r="F165" s="1">
        <v>536.4</v>
      </c>
      <c r="G165" s="1">
        <v>6.9</v>
      </c>
      <c r="H165" t="s">
        <v>668</v>
      </c>
      <c r="I165" s="1" t="str">
        <f t="shared" si="6"/>
        <v>กลางวัน</v>
      </c>
      <c r="J165" s="1" t="str">
        <f t="shared" si="7"/>
        <v>ลึก</v>
      </c>
      <c r="K165">
        <f t="shared" si="8"/>
        <v>-536.4</v>
      </c>
    </row>
    <row r="166" spans="1:11" x14ac:dyDescent="0.25">
      <c r="A166" s="1">
        <v>165</v>
      </c>
      <c r="B166" s="1" t="s">
        <v>2667</v>
      </c>
      <c r="C166" s="1" t="s">
        <v>2411</v>
      </c>
      <c r="D166" s="1">
        <v>-7.2359999999999998</v>
      </c>
      <c r="E166" s="1">
        <v>122.354</v>
      </c>
      <c r="F166" s="1">
        <v>550</v>
      </c>
      <c r="G166" s="1">
        <v>5.3</v>
      </c>
      <c r="H166" t="s">
        <v>672</v>
      </c>
      <c r="I166" s="1" t="str">
        <f t="shared" si="6"/>
        <v>กลางวัน</v>
      </c>
      <c r="J166" s="1" t="str">
        <f t="shared" si="7"/>
        <v>ลึก</v>
      </c>
      <c r="K166">
        <f t="shared" si="8"/>
        <v>-550</v>
      </c>
    </row>
    <row r="167" spans="1:11" x14ac:dyDescent="0.25">
      <c r="A167" s="1">
        <v>166</v>
      </c>
      <c r="B167" s="1" t="s">
        <v>2668</v>
      </c>
      <c r="C167" s="1" t="s">
        <v>2412</v>
      </c>
      <c r="D167" s="1">
        <v>-6.9180000000000001</v>
      </c>
      <c r="E167" s="1">
        <v>124.67700000000001</v>
      </c>
      <c r="F167" s="1">
        <v>579.79999999999995</v>
      </c>
      <c r="G167" s="1">
        <v>4.5</v>
      </c>
      <c r="H167" t="s">
        <v>676</v>
      </c>
      <c r="I167" s="1" t="str">
        <f t="shared" si="6"/>
        <v>กลางคืน</v>
      </c>
      <c r="J167" s="1" t="str">
        <f t="shared" si="7"/>
        <v>ลึก</v>
      </c>
      <c r="K167">
        <f t="shared" si="8"/>
        <v>-579.79999999999995</v>
      </c>
    </row>
    <row r="168" spans="1:11" x14ac:dyDescent="0.25">
      <c r="A168" s="1">
        <v>167</v>
      </c>
      <c r="B168" s="1" t="s">
        <v>2669</v>
      </c>
      <c r="C168" s="1" t="s">
        <v>2413</v>
      </c>
      <c r="D168" s="1">
        <v>-7.22</v>
      </c>
      <c r="E168" s="1">
        <v>123.76900000000001</v>
      </c>
      <c r="F168" s="1">
        <v>604.4</v>
      </c>
      <c r="G168" s="1">
        <v>5.0999999999999996</v>
      </c>
      <c r="H168" t="s">
        <v>680</v>
      </c>
      <c r="I168" s="1" t="str">
        <f t="shared" si="6"/>
        <v>กลางคืน</v>
      </c>
      <c r="J168" s="1" t="str">
        <f t="shared" si="7"/>
        <v>ลึก</v>
      </c>
      <c r="K168">
        <f t="shared" si="8"/>
        <v>-604.4</v>
      </c>
    </row>
    <row r="169" spans="1:11" x14ac:dyDescent="0.25">
      <c r="A169" s="1">
        <v>168</v>
      </c>
      <c r="B169" s="1" t="s">
        <v>2670</v>
      </c>
      <c r="C169" s="1" t="s">
        <v>2414</v>
      </c>
      <c r="D169" s="1">
        <v>-6.8849999999999998</v>
      </c>
      <c r="E169" s="1">
        <v>125.24299999999999</v>
      </c>
      <c r="F169" s="1">
        <v>556.29999999999995</v>
      </c>
      <c r="G169" s="1">
        <v>5</v>
      </c>
      <c r="H169" t="s">
        <v>684</v>
      </c>
      <c r="I169" s="1" t="str">
        <f t="shared" si="6"/>
        <v>กลางคืน</v>
      </c>
      <c r="J169" s="1" t="str">
        <f t="shared" si="7"/>
        <v>ลึก</v>
      </c>
      <c r="K169">
        <f t="shared" si="8"/>
        <v>-556.29999999999995</v>
      </c>
    </row>
    <row r="170" spans="1:11" x14ac:dyDescent="0.25">
      <c r="A170" s="1">
        <v>169</v>
      </c>
      <c r="B170" s="1" t="s">
        <v>2671</v>
      </c>
      <c r="C170" s="1" t="s">
        <v>2415</v>
      </c>
      <c r="D170" s="1">
        <v>-7.22</v>
      </c>
      <c r="E170" s="1">
        <v>125.15300000000001</v>
      </c>
      <c r="F170" s="1">
        <v>401.7</v>
      </c>
      <c r="G170" s="1">
        <v>4.8</v>
      </c>
      <c r="H170" t="s">
        <v>688</v>
      </c>
      <c r="I170" s="1" t="str">
        <f t="shared" si="6"/>
        <v>กลางวัน</v>
      </c>
      <c r="J170" s="1" t="str">
        <f t="shared" si="7"/>
        <v>ลึก</v>
      </c>
      <c r="K170">
        <f t="shared" si="8"/>
        <v>-401.7</v>
      </c>
    </row>
    <row r="171" spans="1:11" x14ac:dyDescent="0.25">
      <c r="A171" s="1">
        <v>170</v>
      </c>
      <c r="B171" s="1" t="s">
        <v>2671</v>
      </c>
      <c r="C171" s="1" t="s">
        <v>2416</v>
      </c>
      <c r="D171" s="1">
        <v>-7.3869999999999996</v>
      </c>
      <c r="E171" s="1">
        <v>119.468</v>
      </c>
      <c r="F171" s="1">
        <v>242.1</v>
      </c>
      <c r="G171" s="1">
        <v>4.9000000000000004</v>
      </c>
      <c r="H171" t="s">
        <v>692</v>
      </c>
      <c r="I171" s="1" t="str">
        <f t="shared" si="6"/>
        <v>กลางวัน</v>
      </c>
      <c r="J171" s="1" t="str">
        <f t="shared" si="7"/>
        <v>ลึก</v>
      </c>
      <c r="K171">
        <f t="shared" si="8"/>
        <v>-242.1</v>
      </c>
    </row>
    <row r="172" spans="1:11" x14ac:dyDescent="0.25">
      <c r="A172" s="1">
        <v>171</v>
      </c>
      <c r="B172" s="1" t="s">
        <v>2672</v>
      </c>
      <c r="C172" s="1" t="s">
        <v>2417</v>
      </c>
      <c r="D172" s="1">
        <v>-6.7480000000000002</v>
      </c>
      <c r="E172" s="1">
        <v>125.25</v>
      </c>
      <c r="F172" s="1">
        <v>533.1</v>
      </c>
      <c r="G172" s="1">
        <v>4.9000000000000004</v>
      </c>
      <c r="H172" t="s">
        <v>696</v>
      </c>
      <c r="I172" s="1" t="str">
        <f t="shared" si="6"/>
        <v>กลางวัน</v>
      </c>
      <c r="J172" s="1" t="str">
        <f t="shared" si="7"/>
        <v>ลึก</v>
      </c>
      <c r="K172">
        <f t="shared" si="8"/>
        <v>-533.1</v>
      </c>
    </row>
    <row r="173" spans="1:11" x14ac:dyDescent="0.25">
      <c r="A173" s="1">
        <v>172</v>
      </c>
      <c r="B173" s="1" t="s">
        <v>2673</v>
      </c>
      <c r="C173" s="1" t="s">
        <v>2418</v>
      </c>
      <c r="D173" s="1">
        <v>-7.149</v>
      </c>
      <c r="E173" s="1">
        <v>125.17400000000001</v>
      </c>
      <c r="F173" s="1">
        <v>525.20000000000005</v>
      </c>
      <c r="G173" s="1">
        <v>4.8</v>
      </c>
      <c r="H173" t="s">
        <v>700</v>
      </c>
      <c r="I173" s="1" t="str">
        <f t="shared" si="6"/>
        <v>กลางคืน</v>
      </c>
      <c r="J173" s="1" t="str">
        <f t="shared" si="7"/>
        <v>ลึก</v>
      </c>
      <c r="K173">
        <f t="shared" si="8"/>
        <v>-525.20000000000005</v>
      </c>
    </row>
    <row r="174" spans="1:11" x14ac:dyDescent="0.25">
      <c r="A174" s="1">
        <v>173</v>
      </c>
      <c r="B174" s="1" t="s">
        <v>2674</v>
      </c>
      <c r="C174" s="1" t="s">
        <v>2419</v>
      </c>
      <c r="D174" s="1">
        <v>-7.5330000000000004</v>
      </c>
      <c r="E174" s="1">
        <v>122.83799999999999</v>
      </c>
      <c r="F174" s="1">
        <v>262</v>
      </c>
      <c r="G174" s="1">
        <v>4.5999999999999996</v>
      </c>
      <c r="H174" t="s">
        <v>704</v>
      </c>
      <c r="I174" s="1" t="str">
        <f t="shared" si="6"/>
        <v>กลางคืน</v>
      </c>
      <c r="J174" s="1" t="str">
        <f t="shared" si="7"/>
        <v>ลึก</v>
      </c>
      <c r="K174">
        <f t="shared" si="8"/>
        <v>-262</v>
      </c>
    </row>
    <row r="175" spans="1:11" x14ac:dyDescent="0.25">
      <c r="A175" s="1">
        <v>174</v>
      </c>
      <c r="B175" s="1" t="s">
        <v>2675</v>
      </c>
      <c r="C175" s="1" t="s">
        <v>2420</v>
      </c>
      <c r="D175" s="1">
        <v>-7.28</v>
      </c>
      <c r="E175" s="1">
        <v>122.46299999999999</v>
      </c>
      <c r="F175" s="1">
        <v>556.4</v>
      </c>
      <c r="G175" s="1">
        <v>5</v>
      </c>
      <c r="H175" t="s">
        <v>708</v>
      </c>
      <c r="I175" s="1" t="str">
        <f t="shared" si="6"/>
        <v>กลางวัน</v>
      </c>
      <c r="J175" s="1" t="str">
        <f t="shared" si="7"/>
        <v>ลึก</v>
      </c>
      <c r="K175">
        <f t="shared" si="8"/>
        <v>-556.4</v>
      </c>
    </row>
    <row r="176" spans="1:11" x14ac:dyDescent="0.25">
      <c r="A176" s="1">
        <v>175</v>
      </c>
      <c r="B176" s="1" t="s">
        <v>2676</v>
      </c>
      <c r="C176" s="1" t="s">
        <v>2421</v>
      </c>
      <c r="D176" s="1">
        <v>-7.4450000000000003</v>
      </c>
      <c r="E176" s="1">
        <v>124.732</v>
      </c>
      <c r="F176" s="1">
        <v>386.7</v>
      </c>
      <c r="G176" s="1">
        <v>5.0999999999999996</v>
      </c>
      <c r="H176" t="s">
        <v>712</v>
      </c>
      <c r="I176" s="1" t="str">
        <f t="shared" si="6"/>
        <v>กลางวัน</v>
      </c>
      <c r="J176" s="1" t="str">
        <f t="shared" si="7"/>
        <v>ลึก</v>
      </c>
      <c r="K176">
        <f t="shared" si="8"/>
        <v>-386.7</v>
      </c>
    </row>
    <row r="177" spans="1:11" x14ac:dyDescent="0.25">
      <c r="A177" s="1">
        <v>176</v>
      </c>
      <c r="B177" s="1" t="s">
        <v>2677</v>
      </c>
      <c r="C177" s="1" t="s">
        <v>2422</v>
      </c>
      <c r="D177" s="1">
        <v>-7.0990000000000002</v>
      </c>
      <c r="E177" s="1">
        <v>124.19499999999999</v>
      </c>
      <c r="F177" s="1">
        <v>610.70000000000005</v>
      </c>
      <c r="G177" s="1">
        <v>5.2</v>
      </c>
      <c r="H177" t="s">
        <v>716</v>
      </c>
      <c r="I177" s="1" t="str">
        <f t="shared" si="6"/>
        <v>กลางวัน</v>
      </c>
      <c r="J177" s="1" t="str">
        <f t="shared" si="7"/>
        <v>ลึก</v>
      </c>
      <c r="K177">
        <f t="shared" si="8"/>
        <v>-610.70000000000005</v>
      </c>
    </row>
    <row r="178" spans="1:11" x14ac:dyDescent="0.25">
      <c r="A178" s="1">
        <v>177</v>
      </c>
      <c r="B178" s="1" t="s">
        <v>2678</v>
      </c>
      <c r="C178" s="1" t="s">
        <v>2423</v>
      </c>
      <c r="D178" s="1">
        <v>-6.5090000000000003</v>
      </c>
      <c r="E178" s="1">
        <v>124.31699999999999</v>
      </c>
      <c r="F178" s="1">
        <v>597.4</v>
      </c>
      <c r="G178" s="1">
        <v>4.9000000000000004</v>
      </c>
      <c r="H178" t="s">
        <v>720</v>
      </c>
      <c r="I178" s="1" t="str">
        <f t="shared" si="6"/>
        <v>กลางคืน</v>
      </c>
      <c r="J178" s="1" t="str">
        <f t="shared" si="7"/>
        <v>ลึก</v>
      </c>
      <c r="K178">
        <f t="shared" si="8"/>
        <v>-597.4</v>
      </c>
    </row>
    <row r="179" spans="1:11" x14ac:dyDescent="0.25">
      <c r="A179" s="1">
        <v>178</v>
      </c>
      <c r="B179" s="1" t="s">
        <v>2679</v>
      </c>
      <c r="C179" s="1" t="s">
        <v>2424</v>
      </c>
      <c r="D179" s="1">
        <v>-7.4279999999999999</v>
      </c>
      <c r="E179" s="1">
        <v>125.233</v>
      </c>
      <c r="F179" s="1">
        <v>326</v>
      </c>
      <c r="G179" s="1">
        <v>4.5</v>
      </c>
      <c r="H179" t="s">
        <v>724</v>
      </c>
      <c r="I179" s="1" t="str">
        <f t="shared" si="6"/>
        <v>กลางคืน</v>
      </c>
      <c r="J179" s="1" t="str">
        <f t="shared" si="7"/>
        <v>ลึก</v>
      </c>
      <c r="K179">
        <f t="shared" si="8"/>
        <v>-326</v>
      </c>
    </row>
    <row r="180" spans="1:11" x14ac:dyDescent="0.25">
      <c r="A180" s="1">
        <v>179</v>
      </c>
      <c r="B180" s="1" t="s">
        <v>2680</v>
      </c>
      <c r="C180" s="1" t="s">
        <v>2425</v>
      </c>
      <c r="D180" s="1">
        <v>-7.1440000000000001</v>
      </c>
      <c r="E180" s="1">
        <v>125.09099999999999</v>
      </c>
      <c r="F180" s="1">
        <v>507.7</v>
      </c>
      <c r="G180" s="1">
        <v>4.9000000000000004</v>
      </c>
      <c r="H180" t="s">
        <v>728</v>
      </c>
      <c r="I180" s="1" t="str">
        <f t="shared" si="6"/>
        <v>กลางวัน</v>
      </c>
      <c r="J180" s="1" t="str">
        <f t="shared" si="7"/>
        <v>ลึก</v>
      </c>
      <c r="K180">
        <f t="shared" si="8"/>
        <v>-507.7</v>
      </c>
    </row>
    <row r="181" spans="1:11" x14ac:dyDescent="0.25">
      <c r="A181" s="1">
        <v>180</v>
      </c>
      <c r="B181" s="1" t="s">
        <v>2681</v>
      </c>
      <c r="C181" s="1" t="s">
        <v>2426</v>
      </c>
      <c r="D181" s="1">
        <v>-7.1130000000000004</v>
      </c>
      <c r="E181" s="1">
        <v>125.063</v>
      </c>
      <c r="F181" s="1">
        <v>492.4</v>
      </c>
      <c r="G181" s="1">
        <v>5.2</v>
      </c>
      <c r="H181" t="s">
        <v>732</v>
      </c>
      <c r="I181" s="1" t="str">
        <f t="shared" si="6"/>
        <v>กลางคืน</v>
      </c>
      <c r="J181" s="1" t="str">
        <f t="shared" si="7"/>
        <v>ลึก</v>
      </c>
      <c r="K181">
        <f t="shared" si="8"/>
        <v>-492.4</v>
      </c>
    </row>
    <row r="182" spans="1:11" x14ac:dyDescent="0.25">
      <c r="A182" s="1">
        <v>181</v>
      </c>
      <c r="B182" s="1" t="s">
        <v>2682</v>
      </c>
      <c r="C182" s="1" t="s">
        <v>2427</v>
      </c>
      <c r="D182" s="1">
        <v>-7.1260000000000003</v>
      </c>
      <c r="E182" s="1">
        <v>121.748</v>
      </c>
      <c r="F182" s="1">
        <v>485.9</v>
      </c>
      <c r="G182" s="1">
        <v>6.6</v>
      </c>
      <c r="H182" t="s">
        <v>737</v>
      </c>
      <c r="I182" s="1" t="str">
        <f t="shared" si="6"/>
        <v>กลางวัน</v>
      </c>
      <c r="J182" s="1" t="str">
        <f t="shared" si="7"/>
        <v>ลึก</v>
      </c>
      <c r="K182">
        <f t="shared" si="8"/>
        <v>-485.9</v>
      </c>
    </row>
    <row r="183" spans="1:11" x14ac:dyDescent="0.25">
      <c r="A183" s="1">
        <v>182</v>
      </c>
      <c r="B183" s="1" t="s">
        <v>2683</v>
      </c>
      <c r="C183" s="1" t="s">
        <v>2428</v>
      </c>
      <c r="D183" s="1">
        <v>-7.32</v>
      </c>
      <c r="E183" s="1">
        <v>120.35599999999999</v>
      </c>
      <c r="F183" s="1">
        <v>638.5</v>
      </c>
      <c r="G183" s="1">
        <v>5</v>
      </c>
      <c r="H183" t="s">
        <v>400</v>
      </c>
      <c r="I183" s="1" t="str">
        <f t="shared" si="6"/>
        <v>กลางวัน</v>
      </c>
      <c r="J183" s="1" t="str">
        <f t="shared" si="7"/>
        <v>ลึก</v>
      </c>
      <c r="K183">
        <f t="shared" si="8"/>
        <v>-638.5</v>
      </c>
    </row>
    <row r="184" spans="1:11" x14ac:dyDescent="0.25">
      <c r="A184" s="1">
        <v>183</v>
      </c>
      <c r="B184" s="1" t="s">
        <v>2684</v>
      </c>
      <c r="C184" s="1" t="s">
        <v>2429</v>
      </c>
      <c r="D184" s="1">
        <v>-7.407</v>
      </c>
      <c r="E184" s="1">
        <v>120.321</v>
      </c>
      <c r="F184" s="1">
        <v>657.6</v>
      </c>
      <c r="G184" s="1">
        <v>4.7</v>
      </c>
      <c r="H184" t="s">
        <v>256</v>
      </c>
      <c r="I184" s="1" t="str">
        <f t="shared" si="6"/>
        <v>กลางวัน</v>
      </c>
      <c r="J184" s="1" t="str">
        <f t="shared" si="7"/>
        <v>ลึก</v>
      </c>
      <c r="K184">
        <f t="shared" si="8"/>
        <v>-657.6</v>
      </c>
    </row>
    <row r="185" spans="1:11" x14ac:dyDescent="0.25">
      <c r="A185" s="1">
        <v>184</v>
      </c>
      <c r="B185" s="1" t="s">
        <v>2685</v>
      </c>
      <c r="C185" s="1" t="s">
        <v>2430</v>
      </c>
      <c r="D185" s="1">
        <v>-7.3179999999999996</v>
      </c>
      <c r="E185" s="1">
        <v>120.33799999999999</v>
      </c>
      <c r="F185" s="1">
        <v>398.9</v>
      </c>
      <c r="G185" s="1">
        <v>4.7</v>
      </c>
      <c r="H185" t="s">
        <v>400</v>
      </c>
      <c r="I185" s="1" t="str">
        <f t="shared" si="6"/>
        <v>กลางวัน</v>
      </c>
      <c r="J185" s="1" t="str">
        <f t="shared" si="7"/>
        <v>ลึก</v>
      </c>
      <c r="K185">
        <f t="shared" si="8"/>
        <v>-398.9</v>
      </c>
    </row>
    <row r="186" spans="1:11" x14ac:dyDescent="0.25">
      <c r="A186" s="1">
        <v>185</v>
      </c>
      <c r="B186" s="1" t="s">
        <v>2686</v>
      </c>
      <c r="C186" s="1" t="s">
        <v>2431</v>
      </c>
      <c r="D186" s="1">
        <v>-7.0259999999999998</v>
      </c>
      <c r="E186" s="1">
        <v>122.97</v>
      </c>
      <c r="F186" s="1">
        <v>33</v>
      </c>
      <c r="G186" s="1">
        <v>4.7</v>
      </c>
      <c r="H186" t="s">
        <v>750</v>
      </c>
      <c r="I186" s="1" t="str">
        <f t="shared" si="6"/>
        <v>กลางคืน</v>
      </c>
      <c r="J186" s="1" t="str">
        <f t="shared" si="7"/>
        <v>กลาง</v>
      </c>
      <c r="K186">
        <f t="shared" si="8"/>
        <v>-33</v>
      </c>
    </row>
    <row r="187" spans="1:11" x14ac:dyDescent="0.25">
      <c r="A187" s="1">
        <v>186</v>
      </c>
      <c r="B187" s="1" t="s">
        <v>2687</v>
      </c>
      <c r="C187" s="1" t="s">
        <v>2432</v>
      </c>
      <c r="D187" s="1">
        <v>-7.5289999999999999</v>
      </c>
      <c r="E187" s="1">
        <v>120.803</v>
      </c>
      <c r="F187" s="1">
        <v>39.4</v>
      </c>
      <c r="G187" s="1">
        <v>4.9000000000000004</v>
      </c>
      <c r="H187" t="s">
        <v>754</v>
      </c>
      <c r="I187" s="1" t="str">
        <f t="shared" si="6"/>
        <v>กลางวัน</v>
      </c>
      <c r="J187" s="1" t="str">
        <f t="shared" si="7"/>
        <v>กลาง</v>
      </c>
      <c r="K187">
        <f t="shared" si="8"/>
        <v>-39.4</v>
      </c>
    </row>
    <row r="188" spans="1:11" x14ac:dyDescent="0.25">
      <c r="A188" s="1">
        <v>187</v>
      </c>
      <c r="B188" s="1" t="s">
        <v>2688</v>
      </c>
      <c r="C188" s="1" t="s">
        <v>2433</v>
      </c>
      <c r="D188" s="1">
        <v>-4.548</v>
      </c>
      <c r="E188" s="1">
        <v>119.94799999999999</v>
      </c>
      <c r="F188" s="1">
        <v>60</v>
      </c>
      <c r="G188" s="1">
        <v>5</v>
      </c>
      <c r="H188" t="s">
        <v>758</v>
      </c>
      <c r="I188" s="1" t="str">
        <f t="shared" si="6"/>
        <v>กลางวัน</v>
      </c>
      <c r="J188" s="1" t="str">
        <f t="shared" si="7"/>
        <v>กลาง</v>
      </c>
      <c r="K188">
        <f t="shared" si="8"/>
        <v>-60</v>
      </c>
    </row>
    <row r="189" spans="1:11" x14ac:dyDescent="0.25">
      <c r="A189" s="1">
        <v>188</v>
      </c>
      <c r="B189" s="1" t="s">
        <v>2689</v>
      </c>
      <c r="C189" s="1" t="s">
        <v>2434</v>
      </c>
      <c r="D189" s="1">
        <v>-5.2430000000000003</v>
      </c>
      <c r="E189" s="1">
        <v>123.535</v>
      </c>
      <c r="F189" s="1">
        <v>33</v>
      </c>
      <c r="G189" s="1">
        <v>5</v>
      </c>
      <c r="H189" t="s">
        <v>762</v>
      </c>
      <c r="I189" s="1" t="str">
        <f t="shared" si="6"/>
        <v>กลางวัน</v>
      </c>
      <c r="J189" s="1" t="str">
        <f t="shared" si="7"/>
        <v>กลาง</v>
      </c>
      <c r="K189">
        <f t="shared" si="8"/>
        <v>-33</v>
      </c>
    </row>
    <row r="190" spans="1:11" x14ac:dyDescent="0.25">
      <c r="A190" s="1">
        <v>189</v>
      </c>
      <c r="B190" s="1" t="s">
        <v>2690</v>
      </c>
      <c r="C190" s="1" t="s">
        <v>2435</v>
      </c>
      <c r="D190" s="1">
        <v>-7.4930000000000003</v>
      </c>
      <c r="E190" s="1">
        <v>118.962</v>
      </c>
      <c r="F190" s="1">
        <v>39.799999999999997</v>
      </c>
      <c r="G190" s="1">
        <v>4.8</v>
      </c>
      <c r="H190" t="s">
        <v>766</v>
      </c>
      <c r="I190" s="1" t="str">
        <f t="shared" si="6"/>
        <v>กลางคืน</v>
      </c>
      <c r="J190" s="1" t="str">
        <f t="shared" si="7"/>
        <v>กลาง</v>
      </c>
      <c r="K190">
        <f t="shared" si="8"/>
        <v>-39.799999999999997</v>
      </c>
    </row>
    <row r="191" spans="1:11" x14ac:dyDescent="0.25">
      <c r="A191" s="1">
        <v>190</v>
      </c>
      <c r="B191" s="1" t="s">
        <v>2691</v>
      </c>
      <c r="C191" s="1" t="s">
        <v>2436</v>
      </c>
      <c r="D191" s="1">
        <v>-7.1769999999999996</v>
      </c>
      <c r="E191" s="1">
        <v>120.27200000000001</v>
      </c>
      <c r="F191" s="1">
        <v>585.70000000000005</v>
      </c>
      <c r="G191" s="1">
        <v>4.9000000000000004</v>
      </c>
      <c r="H191" t="s">
        <v>221</v>
      </c>
      <c r="I191" s="1" t="str">
        <f t="shared" si="6"/>
        <v>กลางวัน</v>
      </c>
      <c r="J191" s="1" t="str">
        <f t="shared" si="7"/>
        <v>ลึก</v>
      </c>
      <c r="K191">
        <f t="shared" si="8"/>
        <v>-585.70000000000005</v>
      </c>
    </row>
    <row r="192" spans="1:11" x14ac:dyDescent="0.25">
      <c r="A192" s="1">
        <v>191</v>
      </c>
      <c r="B192" s="1" t="s">
        <v>2692</v>
      </c>
      <c r="C192" s="1" t="s">
        <v>2437</v>
      </c>
      <c r="D192" s="1">
        <v>-6.069</v>
      </c>
      <c r="E192" s="1">
        <v>125.06399999999999</v>
      </c>
      <c r="F192" s="1">
        <v>592.5</v>
      </c>
      <c r="G192" s="1">
        <v>5.0999999999999996</v>
      </c>
      <c r="H192" t="s">
        <v>773</v>
      </c>
      <c r="I192" s="1" t="str">
        <f t="shared" si="6"/>
        <v>กลางวัน</v>
      </c>
      <c r="J192" s="1" t="str">
        <f t="shared" si="7"/>
        <v>ลึก</v>
      </c>
      <c r="K192">
        <f t="shared" si="8"/>
        <v>-592.5</v>
      </c>
    </row>
    <row r="193" spans="1:11" x14ac:dyDescent="0.25">
      <c r="A193" s="1">
        <v>192</v>
      </c>
      <c r="B193" s="1" t="s">
        <v>2693</v>
      </c>
      <c r="C193" s="1" t="s">
        <v>2438</v>
      </c>
      <c r="D193" s="1">
        <v>-6.8179999999999996</v>
      </c>
      <c r="E193" s="1">
        <v>125.246</v>
      </c>
      <c r="F193" s="1">
        <v>525.4</v>
      </c>
      <c r="G193" s="1">
        <v>4.8</v>
      </c>
      <c r="H193" t="s">
        <v>777</v>
      </c>
      <c r="I193" s="1" t="str">
        <f t="shared" si="6"/>
        <v>กลางวัน</v>
      </c>
      <c r="J193" s="1" t="str">
        <f t="shared" si="7"/>
        <v>ลึก</v>
      </c>
      <c r="K193">
        <f t="shared" si="8"/>
        <v>-525.4</v>
      </c>
    </row>
    <row r="194" spans="1:11" x14ac:dyDescent="0.25">
      <c r="A194" s="1">
        <v>193</v>
      </c>
      <c r="B194" s="1" t="s">
        <v>2694</v>
      </c>
      <c r="C194" s="1" t="s">
        <v>2439</v>
      </c>
      <c r="D194" s="1">
        <v>-7.2750000000000004</v>
      </c>
      <c r="E194" s="1">
        <v>119.75</v>
      </c>
      <c r="F194" s="1">
        <v>447.8</v>
      </c>
      <c r="G194" s="1">
        <v>5.0999999999999996</v>
      </c>
      <c r="H194" t="s">
        <v>781</v>
      </c>
      <c r="I194" s="1" t="str">
        <f t="shared" si="6"/>
        <v>กลางวัน</v>
      </c>
      <c r="J194" s="1" t="str">
        <f t="shared" si="7"/>
        <v>ลึก</v>
      </c>
      <c r="K194">
        <f t="shared" si="8"/>
        <v>-447.8</v>
      </c>
    </row>
    <row r="195" spans="1:11" x14ac:dyDescent="0.25">
      <c r="A195" s="1">
        <v>194</v>
      </c>
      <c r="B195" s="1" t="s">
        <v>2695</v>
      </c>
      <c r="C195" s="1" t="s">
        <v>2440</v>
      </c>
      <c r="D195" s="1">
        <v>-6.09</v>
      </c>
      <c r="E195" s="1">
        <v>123.489</v>
      </c>
      <c r="F195" s="1">
        <v>638.4</v>
      </c>
      <c r="G195" s="1">
        <v>4.7</v>
      </c>
      <c r="H195" t="s">
        <v>785</v>
      </c>
      <c r="I195" s="1" t="str">
        <f t="shared" ref="I195:I258" si="9">IF(AND(HOUR(C195)&gt;=6, HOUR(C195)&lt;=18),"กลางวัน","กลางคืน")</f>
        <v>กลางวัน</v>
      </c>
      <c r="J195" s="1" t="str">
        <f t="shared" ref="J195:J258" si="10">IF(F195&lt;=10,"ตื้นมาก",IF(F195&lt;=30,"ตื้น",IF(F195&lt;70,"กลาง","ลึก")))</f>
        <v>ลึก</v>
      </c>
      <c r="K195">
        <f t="shared" ref="K195:K258" si="11">F195*-1</f>
        <v>-638.4</v>
      </c>
    </row>
    <row r="196" spans="1:11" x14ac:dyDescent="0.25">
      <c r="A196" s="1">
        <v>195</v>
      </c>
      <c r="B196" s="1" t="s">
        <v>2696</v>
      </c>
      <c r="C196" s="1" t="s">
        <v>2441</v>
      </c>
      <c r="D196" s="1">
        <v>-7.2619999999999996</v>
      </c>
      <c r="E196" s="1">
        <v>119.17</v>
      </c>
      <c r="F196" s="1">
        <v>606.29999999999995</v>
      </c>
      <c r="G196" s="1">
        <v>4.9000000000000004</v>
      </c>
      <c r="H196" t="s">
        <v>789</v>
      </c>
      <c r="I196" s="1" t="str">
        <f t="shared" si="9"/>
        <v>กลางคืน</v>
      </c>
      <c r="J196" s="1" t="str">
        <f t="shared" si="10"/>
        <v>ลึก</v>
      </c>
      <c r="K196">
        <f t="shared" si="11"/>
        <v>-606.29999999999995</v>
      </c>
    </row>
    <row r="197" spans="1:11" x14ac:dyDescent="0.25">
      <c r="A197" s="1">
        <v>196</v>
      </c>
      <c r="B197" s="1" t="s">
        <v>2697</v>
      </c>
      <c r="C197" s="1" t="s">
        <v>2442</v>
      </c>
      <c r="D197" s="1">
        <v>-7.2640000000000002</v>
      </c>
      <c r="E197" s="1">
        <v>120.425</v>
      </c>
      <c r="F197" s="1">
        <v>553.1</v>
      </c>
      <c r="G197" s="1">
        <v>5</v>
      </c>
      <c r="H197" t="s">
        <v>312</v>
      </c>
      <c r="I197" s="1" t="str">
        <f t="shared" si="9"/>
        <v>กลางคืน</v>
      </c>
      <c r="J197" s="1" t="str">
        <f t="shared" si="10"/>
        <v>ลึก</v>
      </c>
      <c r="K197">
        <f t="shared" si="11"/>
        <v>-553.1</v>
      </c>
    </row>
    <row r="198" spans="1:11" x14ac:dyDescent="0.25">
      <c r="A198" s="1">
        <v>197</v>
      </c>
      <c r="B198" s="1" t="s">
        <v>2698</v>
      </c>
      <c r="C198" s="1" t="s">
        <v>2443</v>
      </c>
      <c r="D198" s="1">
        <v>-7.2910000000000004</v>
      </c>
      <c r="E198" s="1">
        <v>123.36199999999999</v>
      </c>
      <c r="F198" s="1">
        <v>601.5</v>
      </c>
      <c r="G198" s="1">
        <v>4.8</v>
      </c>
      <c r="H198" t="s">
        <v>796</v>
      </c>
      <c r="I198" s="1" t="str">
        <f t="shared" si="9"/>
        <v>กลางวัน</v>
      </c>
      <c r="J198" s="1" t="str">
        <f t="shared" si="10"/>
        <v>ลึก</v>
      </c>
      <c r="K198">
        <f t="shared" si="11"/>
        <v>-601.5</v>
      </c>
    </row>
    <row r="199" spans="1:11" x14ac:dyDescent="0.25">
      <c r="A199" s="1">
        <v>198</v>
      </c>
      <c r="B199" s="1" t="s">
        <v>2699</v>
      </c>
      <c r="C199" s="1" t="s">
        <v>2444</v>
      </c>
      <c r="D199" s="1">
        <v>-7.5350000000000001</v>
      </c>
      <c r="E199" s="1">
        <v>120.074</v>
      </c>
      <c r="F199" s="1">
        <v>414.7</v>
      </c>
      <c r="G199" s="1">
        <v>5</v>
      </c>
      <c r="H199" t="s">
        <v>800</v>
      </c>
      <c r="I199" s="1" t="str">
        <f t="shared" si="9"/>
        <v>กลางวัน</v>
      </c>
      <c r="J199" s="1" t="str">
        <f t="shared" si="10"/>
        <v>ลึก</v>
      </c>
      <c r="K199">
        <f t="shared" si="11"/>
        <v>-414.7</v>
      </c>
    </row>
    <row r="200" spans="1:11" x14ac:dyDescent="0.25">
      <c r="A200" s="1">
        <v>199</v>
      </c>
      <c r="B200" s="1" t="s">
        <v>2700</v>
      </c>
      <c r="C200" s="1" t="s">
        <v>2445</v>
      </c>
      <c r="D200" s="1">
        <v>-7.3869999999999996</v>
      </c>
      <c r="E200" s="1">
        <v>119.771</v>
      </c>
      <c r="F200" s="1">
        <v>433.6</v>
      </c>
      <c r="G200" s="1">
        <v>5.0999999999999996</v>
      </c>
      <c r="H200" t="s">
        <v>804</v>
      </c>
      <c r="I200" s="1" t="str">
        <f t="shared" si="9"/>
        <v>กลางคืน</v>
      </c>
      <c r="J200" s="1" t="str">
        <f t="shared" si="10"/>
        <v>ลึก</v>
      </c>
      <c r="K200">
        <f t="shared" si="11"/>
        <v>-433.6</v>
      </c>
    </row>
    <row r="201" spans="1:11" x14ac:dyDescent="0.25">
      <c r="A201" s="1">
        <v>200</v>
      </c>
      <c r="B201" s="1" t="s">
        <v>2701</v>
      </c>
      <c r="C201" s="1" t="s">
        <v>2446</v>
      </c>
      <c r="D201" s="1">
        <v>-7.2140000000000004</v>
      </c>
      <c r="E201" s="1">
        <v>120.501</v>
      </c>
      <c r="F201" s="1">
        <v>551.4</v>
      </c>
      <c r="G201" s="1">
        <v>4.9000000000000004</v>
      </c>
      <c r="H201" t="s">
        <v>808</v>
      </c>
      <c r="I201" s="1" t="str">
        <f t="shared" si="9"/>
        <v>กลางคืน</v>
      </c>
      <c r="J201" s="1" t="str">
        <f t="shared" si="10"/>
        <v>ลึก</v>
      </c>
      <c r="K201">
        <f t="shared" si="11"/>
        <v>-551.4</v>
      </c>
    </row>
    <row r="202" spans="1:11" x14ac:dyDescent="0.25">
      <c r="A202" s="1">
        <v>201</v>
      </c>
      <c r="B202" s="1" t="s">
        <v>2702</v>
      </c>
      <c r="C202" s="1" t="s">
        <v>2447</v>
      </c>
      <c r="D202" s="1">
        <v>-6.9649999999999999</v>
      </c>
      <c r="E202" s="1">
        <v>124.111</v>
      </c>
      <c r="F202" s="1">
        <v>595.6</v>
      </c>
      <c r="G202" s="1">
        <v>6.2</v>
      </c>
      <c r="H202" t="s">
        <v>812</v>
      </c>
      <c r="I202" s="1" t="str">
        <f t="shared" si="9"/>
        <v>กลางคืน</v>
      </c>
      <c r="J202" s="1" t="str">
        <f t="shared" si="10"/>
        <v>ลึก</v>
      </c>
      <c r="K202">
        <f t="shared" si="11"/>
        <v>-595.6</v>
      </c>
    </row>
    <row r="203" spans="1:11" x14ac:dyDescent="0.25">
      <c r="A203" s="1">
        <v>202</v>
      </c>
      <c r="B203" s="1" t="s">
        <v>2703</v>
      </c>
      <c r="C203" s="1" t="s">
        <v>2448</v>
      </c>
      <c r="D203" s="1">
        <v>-6.9160000000000004</v>
      </c>
      <c r="E203" s="1">
        <v>118.723</v>
      </c>
      <c r="F203" s="1">
        <v>149.69999999999999</v>
      </c>
      <c r="G203" s="1">
        <v>4.5999999999999996</v>
      </c>
      <c r="H203" t="s">
        <v>816</v>
      </c>
      <c r="I203" s="1" t="str">
        <f t="shared" si="9"/>
        <v>กลางคืน</v>
      </c>
      <c r="J203" s="1" t="str">
        <f t="shared" si="10"/>
        <v>ลึก</v>
      </c>
      <c r="K203">
        <f t="shared" si="11"/>
        <v>-149.69999999999999</v>
      </c>
    </row>
    <row r="204" spans="1:11" x14ac:dyDescent="0.25">
      <c r="A204" s="1">
        <v>203</v>
      </c>
      <c r="B204" s="1" t="s">
        <v>2704</v>
      </c>
      <c r="C204" s="1" t="s">
        <v>2449</v>
      </c>
      <c r="D204" s="1">
        <v>-7.2990000000000004</v>
      </c>
      <c r="E204" s="1">
        <v>122.363</v>
      </c>
      <c r="F204" s="1">
        <v>494.5</v>
      </c>
      <c r="G204" s="1">
        <v>4.5999999999999996</v>
      </c>
      <c r="H204" t="s">
        <v>820</v>
      </c>
      <c r="I204" s="1" t="str">
        <f t="shared" si="9"/>
        <v>กลางคืน</v>
      </c>
      <c r="J204" s="1" t="str">
        <f t="shared" si="10"/>
        <v>ลึก</v>
      </c>
      <c r="K204">
        <f t="shared" si="11"/>
        <v>-494.5</v>
      </c>
    </row>
    <row r="205" spans="1:11" x14ac:dyDescent="0.25">
      <c r="A205" s="1">
        <v>204</v>
      </c>
      <c r="B205" s="1" t="s">
        <v>2705</v>
      </c>
      <c r="C205" s="1" t="s">
        <v>2450</v>
      </c>
      <c r="D205" s="1">
        <v>-5.8650000000000002</v>
      </c>
      <c r="E205" s="1">
        <v>125.163</v>
      </c>
      <c r="F205" s="1">
        <v>583.1</v>
      </c>
      <c r="G205" s="1">
        <v>4.5999999999999996</v>
      </c>
      <c r="H205" t="s">
        <v>37</v>
      </c>
      <c r="I205" s="1" t="str">
        <f t="shared" si="9"/>
        <v>กลางวัน</v>
      </c>
      <c r="J205" s="1" t="str">
        <f t="shared" si="10"/>
        <v>ลึก</v>
      </c>
      <c r="K205">
        <f t="shared" si="11"/>
        <v>-583.1</v>
      </c>
    </row>
    <row r="206" spans="1:11" x14ac:dyDescent="0.25">
      <c r="A206" s="1">
        <v>205</v>
      </c>
      <c r="B206" s="1" t="s">
        <v>2706</v>
      </c>
      <c r="C206" s="1" t="s">
        <v>2451</v>
      </c>
      <c r="D206" s="1">
        <v>-7.08</v>
      </c>
      <c r="E206" s="1">
        <v>125.117</v>
      </c>
      <c r="F206" s="1">
        <v>520.6</v>
      </c>
      <c r="G206" s="1">
        <v>4.9000000000000004</v>
      </c>
      <c r="H206" t="s">
        <v>827</v>
      </c>
      <c r="I206" s="1" t="str">
        <f t="shared" si="9"/>
        <v>กลางคืน</v>
      </c>
      <c r="J206" s="1" t="str">
        <f t="shared" si="10"/>
        <v>ลึก</v>
      </c>
      <c r="K206">
        <f t="shared" si="11"/>
        <v>-520.6</v>
      </c>
    </row>
    <row r="207" spans="1:11" x14ac:dyDescent="0.25">
      <c r="A207" s="1">
        <v>206</v>
      </c>
      <c r="B207" s="1" t="s">
        <v>2707</v>
      </c>
      <c r="C207" s="1" t="s">
        <v>2452</v>
      </c>
      <c r="D207" s="1">
        <v>-6.992</v>
      </c>
      <c r="E207" s="1">
        <v>123.66500000000001</v>
      </c>
      <c r="F207" s="1">
        <v>630.6</v>
      </c>
      <c r="G207" s="1">
        <v>5.2</v>
      </c>
      <c r="H207" t="s">
        <v>831</v>
      </c>
      <c r="I207" s="1" t="str">
        <f t="shared" si="9"/>
        <v>กลางวัน</v>
      </c>
      <c r="J207" s="1" t="str">
        <f t="shared" si="10"/>
        <v>ลึก</v>
      </c>
      <c r="K207">
        <f t="shared" si="11"/>
        <v>-630.6</v>
      </c>
    </row>
    <row r="208" spans="1:11" x14ac:dyDescent="0.25">
      <c r="A208" s="1">
        <v>207</v>
      </c>
      <c r="B208" s="1" t="s">
        <v>2708</v>
      </c>
      <c r="C208" s="1" t="s">
        <v>2453</v>
      </c>
      <c r="D208" s="1">
        <v>-6.992</v>
      </c>
      <c r="E208" s="1">
        <v>124.84099999999999</v>
      </c>
      <c r="F208" s="1">
        <v>572.29999999999995</v>
      </c>
      <c r="G208" s="1">
        <v>4.5999999999999996</v>
      </c>
      <c r="H208" t="s">
        <v>835</v>
      </c>
      <c r="I208" s="1" t="str">
        <f t="shared" si="9"/>
        <v>กลางวัน</v>
      </c>
      <c r="J208" s="1" t="str">
        <f t="shared" si="10"/>
        <v>ลึก</v>
      </c>
      <c r="K208">
        <f t="shared" si="11"/>
        <v>-572.29999999999995</v>
      </c>
    </row>
    <row r="209" spans="1:11" x14ac:dyDescent="0.25">
      <c r="A209" s="1">
        <v>208</v>
      </c>
      <c r="B209" s="1" t="s">
        <v>2709</v>
      </c>
      <c r="C209" s="1" t="s">
        <v>2454</v>
      </c>
      <c r="D209" s="1">
        <v>-7.0810000000000004</v>
      </c>
      <c r="E209" s="1">
        <v>123.667</v>
      </c>
      <c r="F209" s="1">
        <v>637.70000000000005</v>
      </c>
      <c r="G209" s="1">
        <v>5.6</v>
      </c>
      <c r="H209" t="s">
        <v>839</v>
      </c>
      <c r="I209" s="1" t="str">
        <f t="shared" si="9"/>
        <v>กลางวัน</v>
      </c>
      <c r="J209" s="1" t="str">
        <f t="shared" si="10"/>
        <v>ลึก</v>
      </c>
      <c r="K209">
        <f t="shared" si="11"/>
        <v>-637.70000000000005</v>
      </c>
    </row>
    <row r="210" spans="1:11" x14ac:dyDescent="0.25">
      <c r="A210" s="1">
        <v>209</v>
      </c>
      <c r="B210" s="1" t="s">
        <v>2709</v>
      </c>
      <c r="C210" s="1" t="s">
        <v>2455</v>
      </c>
      <c r="D210" s="1">
        <v>-6.9059999999999997</v>
      </c>
      <c r="E210" s="1">
        <v>123.47799999999999</v>
      </c>
      <c r="F210" s="1">
        <v>610.1</v>
      </c>
      <c r="G210" s="1">
        <v>4.9000000000000004</v>
      </c>
      <c r="H210" t="s">
        <v>843</v>
      </c>
      <c r="I210" s="1" t="str">
        <f t="shared" si="9"/>
        <v>กลางวัน</v>
      </c>
      <c r="J210" s="1" t="str">
        <f t="shared" si="10"/>
        <v>ลึก</v>
      </c>
      <c r="K210">
        <f t="shared" si="11"/>
        <v>-610.1</v>
      </c>
    </row>
    <row r="211" spans="1:11" x14ac:dyDescent="0.25">
      <c r="A211" s="1">
        <v>210</v>
      </c>
      <c r="B211" s="1" t="s">
        <v>2710</v>
      </c>
      <c r="C211" s="1" t="s">
        <v>2456</v>
      </c>
      <c r="D211" s="1">
        <v>-7.26</v>
      </c>
      <c r="E211" s="1">
        <v>120.30800000000001</v>
      </c>
      <c r="F211" s="1">
        <v>600</v>
      </c>
      <c r="G211" s="1">
        <v>4.7</v>
      </c>
      <c r="H211" t="s">
        <v>27</v>
      </c>
      <c r="I211" s="1" t="str">
        <f t="shared" si="9"/>
        <v>กลางวัน</v>
      </c>
      <c r="J211" s="1" t="str">
        <f t="shared" si="10"/>
        <v>ลึก</v>
      </c>
      <c r="K211">
        <f t="shared" si="11"/>
        <v>-600</v>
      </c>
    </row>
    <row r="212" spans="1:11" x14ac:dyDescent="0.25">
      <c r="A212" s="1">
        <v>211</v>
      </c>
      <c r="B212" s="1" t="s">
        <v>2711</v>
      </c>
      <c r="C212" s="1" t="s">
        <v>2457</v>
      </c>
      <c r="D212" s="1">
        <v>-7.0709999999999997</v>
      </c>
      <c r="E212" s="1">
        <v>123.28400000000001</v>
      </c>
      <c r="F212" s="1">
        <v>610.1</v>
      </c>
      <c r="G212" s="1">
        <v>4.7</v>
      </c>
      <c r="H212" t="s">
        <v>850</v>
      </c>
      <c r="I212" s="1" t="str">
        <f t="shared" si="9"/>
        <v>กลางวัน</v>
      </c>
      <c r="J212" s="1" t="str">
        <f t="shared" si="10"/>
        <v>ลึก</v>
      </c>
      <c r="K212">
        <f t="shared" si="11"/>
        <v>-610.1</v>
      </c>
    </row>
    <row r="213" spans="1:11" x14ac:dyDescent="0.25">
      <c r="A213" s="1">
        <v>212</v>
      </c>
      <c r="B213" s="1" t="s">
        <v>2712</v>
      </c>
      <c r="C213" s="1" t="s">
        <v>2458</v>
      </c>
      <c r="D213" s="1">
        <v>-6.9219999999999997</v>
      </c>
      <c r="E213" s="1">
        <v>125.256</v>
      </c>
      <c r="F213" s="1">
        <v>523.70000000000005</v>
      </c>
      <c r="G213" s="1">
        <v>5.2</v>
      </c>
      <c r="H213" t="s">
        <v>854</v>
      </c>
      <c r="I213" s="1" t="str">
        <f t="shared" si="9"/>
        <v>กลางคืน</v>
      </c>
      <c r="J213" s="1" t="str">
        <f t="shared" si="10"/>
        <v>ลึก</v>
      </c>
      <c r="K213">
        <f t="shared" si="11"/>
        <v>-523.70000000000005</v>
      </c>
    </row>
    <row r="214" spans="1:11" x14ac:dyDescent="0.25">
      <c r="A214" s="1">
        <v>213</v>
      </c>
      <c r="B214" s="1" t="s">
        <v>2713</v>
      </c>
      <c r="C214" s="1" t="s">
        <v>2459</v>
      </c>
      <c r="D214" s="1">
        <v>-7.0250000000000004</v>
      </c>
      <c r="E214" s="1">
        <v>124.795</v>
      </c>
      <c r="F214" s="1">
        <v>516</v>
      </c>
      <c r="G214" s="1">
        <v>4.8</v>
      </c>
      <c r="H214" t="s">
        <v>41</v>
      </c>
      <c r="I214" s="1" t="str">
        <f t="shared" si="9"/>
        <v>กลางคืน</v>
      </c>
      <c r="J214" s="1" t="str">
        <f t="shared" si="10"/>
        <v>ลึก</v>
      </c>
      <c r="K214">
        <f t="shared" si="11"/>
        <v>-516</v>
      </c>
    </row>
    <row r="215" spans="1:11" x14ac:dyDescent="0.25">
      <c r="A215" s="1">
        <v>214</v>
      </c>
      <c r="B215" s="1" t="s">
        <v>2714</v>
      </c>
      <c r="C215" s="1" t="s">
        <v>2460</v>
      </c>
      <c r="D215" s="1">
        <v>-6.9450000000000003</v>
      </c>
      <c r="E215" s="1">
        <v>125.194</v>
      </c>
      <c r="F215" s="1">
        <v>532.1</v>
      </c>
      <c r="G215" s="1">
        <v>5.8</v>
      </c>
      <c r="H215" t="s">
        <v>861</v>
      </c>
      <c r="I215" s="1" t="str">
        <f t="shared" si="9"/>
        <v>กลางวัน</v>
      </c>
      <c r="J215" s="1" t="str">
        <f t="shared" si="10"/>
        <v>ลึก</v>
      </c>
      <c r="K215">
        <f t="shared" si="11"/>
        <v>-532.1</v>
      </c>
    </row>
    <row r="216" spans="1:11" x14ac:dyDescent="0.25">
      <c r="A216" s="1">
        <v>215</v>
      </c>
      <c r="B216" s="1" t="s">
        <v>2715</v>
      </c>
      <c r="C216" s="1" t="s">
        <v>2461</v>
      </c>
      <c r="D216" s="1">
        <v>-7.1369999999999996</v>
      </c>
      <c r="E216" s="1">
        <v>122.589</v>
      </c>
      <c r="F216" s="1">
        <v>587.29999999999995</v>
      </c>
      <c r="G216" s="1">
        <v>7.9</v>
      </c>
      <c r="H216" t="s">
        <v>866</v>
      </c>
      <c r="I216" s="1" t="str">
        <f t="shared" si="9"/>
        <v>กลางวัน</v>
      </c>
      <c r="J216" s="1" t="str">
        <f t="shared" si="10"/>
        <v>ลึก</v>
      </c>
      <c r="K216">
        <f t="shared" si="11"/>
        <v>-587.29999999999995</v>
      </c>
    </row>
    <row r="217" spans="1:11" x14ac:dyDescent="0.25">
      <c r="A217" s="1">
        <v>216</v>
      </c>
      <c r="B217" s="1" t="s">
        <v>2715</v>
      </c>
      <c r="C217" s="1" t="s">
        <v>2462</v>
      </c>
      <c r="D217" s="1">
        <v>-7.4450000000000003</v>
      </c>
      <c r="E217" s="1">
        <v>122.691</v>
      </c>
      <c r="F217" s="1">
        <v>600</v>
      </c>
      <c r="G217" s="1">
        <v>5.2</v>
      </c>
      <c r="H217" t="s">
        <v>870</v>
      </c>
      <c r="I217" s="1" t="str">
        <f t="shared" si="9"/>
        <v>กลางวัน</v>
      </c>
      <c r="J217" s="1" t="str">
        <f t="shared" si="10"/>
        <v>ลึก</v>
      </c>
      <c r="K217">
        <f t="shared" si="11"/>
        <v>-600</v>
      </c>
    </row>
    <row r="218" spans="1:11" x14ac:dyDescent="0.25">
      <c r="A218" s="1">
        <v>217</v>
      </c>
      <c r="B218" s="1" t="s">
        <v>2715</v>
      </c>
      <c r="C218" s="1" t="s">
        <v>2463</v>
      </c>
      <c r="D218" s="1">
        <v>-7.2389999999999999</v>
      </c>
      <c r="E218" s="1">
        <v>122.209</v>
      </c>
      <c r="F218" s="1">
        <v>600</v>
      </c>
      <c r="G218" s="1">
        <v>4.7</v>
      </c>
      <c r="H218" t="s">
        <v>448</v>
      </c>
      <c r="I218" s="1" t="str">
        <f t="shared" si="9"/>
        <v>กลางวัน</v>
      </c>
      <c r="J218" s="1" t="str">
        <f t="shared" si="10"/>
        <v>ลึก</v>
      </c>
      <c r="K218">
        <f t="shared" si="11"/>
        <v>-600</v>
      </c>
    </row>
    <row r="219" spans="1:11" x14ac:dyDescent="0.25">
      <c r="A219" s="1">
        <v>218</v>
      </c>
      <c r="B219" s="1" t="s">
        <v>2715</v>
      </c>
      <c r="C219" s="1" t="s">
        <v>2464</v>
      </c>
      <c r="D219" s="1">
        <v>-7.1749999999999998</v>
      </c>
      <c r="E219" s="1">
        <v>122.92</v>
      </c>
      <c r="F219" s="1">
        <v>600</v>
      </c>
      <c r="G219" s="1">
        <v>4.5</v>
      </c>
      <c r="H219" t="s">
        <v>877</v>
      </c>
      <c r="I219" s="1" t="str">
        <f t="shared" si="9"/>
        <v>กลางวัน</v>
      </c>
      <c r="J219" s="1" t="str">
        <f t="shared" si="10"/>
        <v>ลึก</v>
      </c>
      <c r="K219">
        <f t="shared" si="11"/>
        <v>-600</v>
      </c>
    </row>
    <row r="220" spans="1:11" x14ac:dyDescent="0.25">
      <c r="A220" s="1">
        <v>219</v>
      </c>
      <c r="B220" s="1" t="s">
        <v>2715</v>
      </c>
      <c r="C220" s="1" t="s">
        <v>2465</v>
      </c>
      <c r="D220" s="1">
        <v>-7.3559999999999999</v>
      </c>
      <c r="E220" s="1">
        <v>122.297</v>
      </c>
      <c r="F220" s="1">
        <v>600</v>
      </c>
      <c r="G220" s="1">
        <v>4.5</v>
      </c>
      <c r="H220" t="s">
        <v>881</v>
      </c>
      <c r="I220" s="1" t="str">
        <f t="shared" si="9"/>
        <v>กลางวัน</v>
      </c>
      <c r="J220" s="1" t="str">
        <f t="shared" si="10"/>
        <v>ลึก</v>
      </c>
      <c r="K220">
        <f t="shared" si="11"/>
        <v>-600</v>
      </c>
    </row>
    <row r="221" spans="1:11" x14ac:dyDescent="0.25">
      <c r="A221" s="1">
        <v>220</v>
      </c>
      <c r="B221" s="1" t="s">
        <v>2715</v>
      </c>
      <c r="C221" s="1" t="s">
        <v>2466</v>
      </c>
      <c r="D221" s="1">
        <v>-7.2480000000000002</v>
      </c>
      <c r="E221" s="1">
        <v>122.892</v>
      </c>
      <c r="F221" s="1">
        <v>600</v>
      </c>
      <c r="G221" s="1">
        <v>5.0999999999999996</v>
      </c>
      <c r="H221" t="s">
        <v>866</v>
      </c>
      <c r="I221" s="1" t="str">
        <f t="shared" si="9"/>
        <v>กลางคืน</v>
      </c>
      <c r="J221" s="1" t="str">
        <f t="shared" si="10"/>
        <v>ลึก</v>
      </c>
      <c r="K221">
        <f t="shared" si="11"/>
        <v>-600</v>
      </c>
    </row>
    <row r="222" spans="1:11" x14ac:dyDescent="0.25">
      <c r="A222" s="1">
        <v>221</v>
      </c>
      <c r="B222" s="1" t="s">
        <v>2716</v>
      </c>
      <c r="C222" s="1" t="s">
        <v>2467</v>
      </c>
      <c r="D222" s="1">
        <v>-7.4240000000000004</v>
      </c>
      <c r="E222" s="1">
        <v>122.40300000000001</v>
      </c>
      <c r="F222" s="1">
        <v>600</v>
      </c>
      <c r="G222" s="1">
        <v>4.5999999999999996</v>
      </c>
      <c r="H222" t="s">
        <v>888</v>
      </c>
      <c r="I222" s="1" t="str">
        <f t="shared" si="9"/>
        <v>กลางวัน</v>
      </c>
      <c r="J222" s="1" t="str">
        <f t="shared" si="10"/>
        <v>ลึก</v>
      </c>
      <c r="K222">
        <f t="shared" si="11"/>
        <v>-600</v>
      </c>
    </row>
    <row r="223" spans="1:11" x14ac:dyDescent="0.25">
      <c r="A223" s="1">
        <v>222</v>
      </c>
      <c r="B223" s="1" t="s">
        <v>2716</v>
      </c>
      <c r="C223" s="1" t="s">
        <v>2468</v>
      </c>
      <c r="D223" s="1">
        <v>-7.1289999999999996</v>
      </c>
      <c r="E223" s="1">
        <v>122.34399999999999</v>
      </c>
      <c r="F223" s="1">
        <v>570.5</v>
      </c>
      <c r="G223" s="1">
        <v>5.3</v>
      </c>
      <c r="H223" t="s">
        <v>892</v>
      </c>
      <c r="I223" s="1" t="str">
        <f t="shared" si="9"/>
        <v>กลางวัน</v>
      </c>
      <c r="J223" s="1" t="str">
        <f t="shared" si="10"/>
        <v>ลึก</v>
      </c>
      <c r="K223">
        <f t="shared" si="11"/>
        <v>-570.5</v>
      </c>
    </row>
    <row r="224" spans="1:11" x14ac:dyDescent="0.25">
      <c r="A224" s="1">
        <v>223</v>
      </c>
      <c r="B224" s="1" t="s">
        <v>2717</v>
      </c>
      <c r="C224" s="1" t="s">
        <v>2469</v>
      </c>
      <c r="D224" s="1">
        <v>-7.1479999999999997</v>
      </c>
      <c r="E224" s="1">
        <v>122.395</v>
      </c>
      <c r="F224" s="1">
        <v>600</v>
      </c>
      <c r="G224" s="1">
        <v>5.4</v>
      </c>
      <c r="H224" t="s">
        <v>896</v>
      </c>
      <c r="I224" s="1" t="str">
        <f t="shared" si="9"/>
        <v>กลางวัน</v>
      </c>
      <c r="J224" s="1" t="str">
        <f t="shared" si="10"/>
        <v>ลึก</v>
      </c>
      <c r="K224">
        <f t="shared" si="11"/>
        <v>-600</v>
      </c>
    </row>
    <row r="225" spans="1:11" x14ac:dyDescent="0.25">
      <c r="A225" s="1">
        <v>224</v>
      </c>
      <c r="B225" s="1" t="s">
        <v>2718</v>
      </c>
      <c r="C225" s="1" t="s">
        <v>2470</v>
      </c>
      <c r="D225" s="1">
        <v>-6.5419999999999998</v>
      </c>
      <c r="E225" s="1">
        <v>123.163</v>
      </c>
      <c r="F225" s="1">
        <v>550</v>
      </c>
      <c r="G225" s="1">
        <v>5</v>
      </c>
      <c r="H225" t="s">
        <v>900</v>
      </c>
      <c r="I225" s="1" t="str">
        <f t="shared" si="9"/>
        <v>กลางวัน</v>
      </c>
      <c r="J225" s="1" t="str">
        <f t="shared" si="10"/>
        <v>ลึก</v>
      </c>
      <c r="K225">
        <f t="shared" si="11"/>
        <v>-550</v>
      </c>
    </row>
    <row r="226" spans="1:11" x14ac:dyDescent="0.25">
      <c r="A226" s="1">
        <v>225</v>
      </c>
      <c r="B226" s="1" t="s">
        <v>2719</v>
      </c>
      <c r="C226" s="1" t="s">
        <v>2471</v>
      </c>
      <c r="D226" s="1">
        <v>-7.1239999999999997</v>
      </c>
      <c r="E226" s="1">
        <v>123.27500000000001</v>
      </c>
      <c r="F226" s="1">
        <v>595.70000000000005</v>
      </c>
      <c r="G226" s="1">
        <v>6</v>
      </c>
      <c r="H226" t="s">
        <v>904</v>
      </c>
      <c r="I226" s="1" t="str">
        <f t="shared" si="9"/>
        <v>กลางคืน</v>
      </c>
      <c r="J226" s="1" t="str">
        <f t="shared" si="10"/>
        <v>ลึก</v>
      </c>
      <c r="K226">
        <f t="shared" si="11"/>
        <v>-595.70000000000005</v>
      </c>
    </row>
    <row r="227" spans="1:11" x14ac:dyDescent="0.25">
      <c r="A227" s="1">
        <v>226</v>
      </c>
      <c r="B227" s="1" t="s">
        <v>2720</v>
      </c>
      <c r="C227" s="1" t="s">
        <v>2472</v>
      </c>
      <c r="D227" s="1">
        <v>-7.2110000000000003</v>
      </c>
      <c r="E227" s="1">
        <v>124.142</v>
      </c>
      <c r="F227" s="1">
        <v>565.4</v>
      </c>
      <c r="G227" s="1">
        <v>4.7</v>
      </c>
      <c r="H227" t="s">
        <v>908</v>
      </c>
      <c r="I227" s="1" t="str">
        <f t="shared" si="9"/>
        <v>กลางคืน</v>
      </c>
      <c r="J227" s="1" t="str">
        <f t="shared" si="10"/>
        <v>ลึก</v>
      </c>
      <c r="K227">
        <f t="shared" si="11"/>
        <v>-565.4</v>
      </c>
    </row>
    <row r="228" spans="1:11" x14ac:dyDescent="0.25">
      <c r="A228" s="1">
        <v>227</v>
      </c>
      <c r="B228" s="1" t="s">
        <v>2721</v>
      </c>
      <c r="C228" s="1" t="s">
        <v>2473</v>
      </c>
      <c r="D228" s="1">
        <v>-7.2320000000000002</v>
      </c>
      <c r="E228" s="1">
        <v>122.979</v>
      </c>
      <c r="F228" s="1">
        <v>600</v>
      </c>
      <c r="G228" s="1">
        <v>4.8</v>
      </c>
      <c r="H228" t="s">
        <v>912</v>
      </c>
      <c r="I228" s="1" t="str">
        <f t="shared" si="9"/>
        <v>กลางวัน</v>
      </c>
      <c r="J228" s="1" t="str">
        <f t="shared" si="10"/>
        <v>ลึก</v>
      </c>
      <c r="K228">
        <f t="shared" si="11"/>
        <v>-600</v>
      </c>
    </row>
    <row r="229" spans="1:11" x14ac:dyDescent="0.25">
      <c r="A229" s="1">
        <v>228</v>
      </c>
      <c r="B229" s="1" t="s">
        <v>2722</v>
      </c>
      <c r="C229" s="1" t="s">
        <v>2474</v>
      </c>
      <c r="D229" s="1">
        <v>-7.0309999999999997</v>
      </c>
      <c r="E229" s="1">
        <v>124.117</v>
      </c>
      <c r="F229" s="1">
        <v>500</v>
      </c>
      <c r="G229" s="1">
        <v>4.8</v>
      </c>
      <c r="H229" t="s">
        <v>916</v>
      </c>
      <c r="I229" s="1" t="str">
        <f t="shared" si="9"/>
        <v>กลางวัน</v>
      </c>
      <c r="J229" s="1" t="str">
        <f t="shared" si="10"/>
        <v>ลึก</v>
      </c>
      <c r="K229">
        <f t="shared" si="11"/>
        <v>-500</v>
      </c>
    </row>
    <row r="230" spans="1:11" x14ac:dyDescent="0.25">
      <c r="A230" s="1">
        <v>229</v>
      </c>
      <c r="B230" s="1" t="s">
        <v>2723</v>
      </c>
      <c r="C230" s="1" t="s">
        <v>2475</v>
      </c>
      <c r="D230" s="1">
        <v>-7.1159999999999997</v>
      </c>
      <c r="E230" s="1">
        <v>122.61199999999999</v>
      </c>
      <c r="F230" s="1">
        <v>578.5</v>
      </c>
      <c r="G230" s="1">
        <v>5.3</v>
      </c>
      <c r="H230" t="s">
        <v>920</v>
      </c>
      <c r="I230" s="1" t="str">
        <f t="shared" si="9"/>
        <v>กลางวัน</v>
      </c>
      <c r="J230" s="1" t="str">
        <f t="shared" si="10"/>
        <v>ลึก</v>
      </c>
      <c r="K230">
        <f t="shared" si="11"/>
        <v>-578.5</v>
      </c>
    </row>
    <row r="231" spans="1:11" x14ac:dyDescent="0.25">
      <c r="A231" s="1">
        <v>230</v>
      </c>
      <c r="B231" s="1" t="s">
        <v>2724</v>
      </c>
      <c r="C231" s="1" t="s">
        <v>2476</v>
      </c>
      <c r="D231" s="1">
        <v>-7.032</v>
      </c>
      <c r="E231" s="1">
        <v>125.274</v>
      </c>
      <c r="F231" s="1">
        <v>550</v>
      </c>
      <c r="G231" s="1">
        <v>4.9000000000000004</v>
      </c>
      <c r="H231" t="s">
        <v>924</v>
      </c>
      <c r="I231" s="1" t="str">
        <f t="shared" si="9"/>
        <v>กลางคืน</v>
      </c>
      <c r="J231" s="1" t="str">
        <f t="shared" si="10"/>
        <v>ลึก</v>
      </c>
      <c r="K231">
        <f t="shared" si="11"/>
        <v>-550</v>
      </c>
    </row>
    <row r="232" spans="1:11" x14ac:dyDescent="0.25">
      <c r="A232" s="1">
        <v>231</v>
      </c>
      <c r="B232" s="1" t="s">
        <v>2725</v>
      </c>
      <c r="C232" s="1" t="s">
        <v>2477</v>
      </c>
      <c r="D232" s="1">
        <v>-7.492</v>
      </c>
      <c r="E232" s="1">
        <v>120.902</v>
      </c>
      <c r="F232" s="1">
        <v>600</v>
      </c>
      <c r="G232" s="1">
        <v>4.8</v>
      </c>
      <c r="H232" t="s">
        <v>928</v>
      </c>
      <c r="I232" s="1" t="str">
        <f t="shared" si="9"/>
        <v>กลางคืน</v>
      </c>
      <c r="J232" s="1" t="str">
        <f t="shared" si="10"/>
        <v>ลึก</v>
      </c>
      <c r="K232">
        <f t="shared" si="11"/>
        <v>-600</v>
      </c>
    </row>
    <row r="233" spans="1:11" x14ac:dyDescent="0.25">
      <c r="A233" s="1">
        <v>232</v>
      </c>
      <c r="B233" s="1" t="s">
        <v>2726</v>
      </c>
      <c r="C233" s="1" t="s">
        <v>2478</v>
      </c>
      <c r="D233" s="1">
        <v>-7.2930000000000001</v>
      </c>
      <c r="E233" s="1">
        <v>120.968</v>
      </c>
      <c r="F233" s="1">
        <v>500</v>
      </c>
      <c r="G233" s="1">
        <v>4.8</v>
      </c>
      <c r="H233" t="s">
        <v>932</v>
      </c>
      <c r="I233" s="1" t="str">
        <f t="shared" si="9"/>
        <v>กลางคืน</v>
      </c>
      <c r="J233" s="1" t="str">
        <f t="shared" si="10"/>
        <v>ลึก</v>
      </c>
      <c r="K233">
        <f t="shared" si="11"/>
        <v>-500</v>
      </c>
    </row>
    <row r="234" spans="1:11" x14ac:dyDescent="0.25">
      <c r="A234" s="1">
        <v>233</v>
      </c>
      <c r="B234" s="1" t="s">
        <v>2727</v>
      </c>
      <c r="C234" s="1" t="s">
        <v>2479</v>
      </c>
      <c r="D234" s="1">
        <v>-5.6719999999999997</v>
      </c>
      <c r="E234" s="1">
        <v>123.94199999999999</v>
      </c>
      <c r="F234" s="1">
        <v>33</v>
      </c>
      <c r="G234" s="1">
        <v>4.5999999999999996</v>
      </c>
      <c r="H234" t="s">
        <v>936</v>
      </c>
      <c r="I234" s="1" t="str">
        <f t="shared" si="9"/>
        <v>กลางวัน</v>
      </c>
      <c r="J234" s="1" t="str">
        <f t="shared" si="10"/>
        <v>กลาง</v>
      </c>
      <c r="K234">
        <f t="shared" si="11"/>
        <v>-33</v>
      </c>
    </row>
    <row r="235" spans="1:11" x14ac:dyDescent="0.25">
      <c r="A235" s="1">
        <v>234</v>
      </c>
      <c r="B235" s="1" t="s">
        <v>2728</v>
      </c>
      <c r="C235" s="1" t="s">
        <v>2480</v>
      </c>
      <c r="D235" s="1">
        <v>-7.2009999999999996</v>
      </c>
      <c r="E235" s="1">
        <v>120.146</v>
      </c>
      <c r="F235" s="1">
        <v>350</v>
      </c>
      <c r="G235" s="1">
        <v>4.5</v>
      </c>
      <c r="H235" t="s">
        <v>940</v>
      </c>
      <c r="I235" s="1" t="str">
        <f t="shared" si="9"/>
        <v>กลางคืน</v>
      </c>
      <c r="J235" s="1" t="str">
        <f t="shared" si="10"/>
        <v>ลึก</v>
      </c>
      <c r="K235">
        <f t="shared" si="11"/>
        <v>-350</v>
      </c>
    </row>
    <row r="236" spans="1:11" x14ac:dyDescent="0.25">
      <c r="A236" s="1">
        <v>235</v>
      </c>
      <c r="B236" s="1" t="s">
        <v>2729</v>
      </c>
      <c r="C236" s="1" t="s">
        <v>2481</v>
      </c>
      <c r="D236" s="1">
        <v>-7.375</v>
      </c>
      <c r="E236" s="1">
        <v>120.389</v>
      </c>
      <c r="F236" s="1">
        <v>100</v>
      </c>
      <c r="G236" s="1">
        <v>4.5</v>
      </c>
      <c r="H236" t="s">
        <v>321</v>
      </c>
      <c r="I236" s="1" t="str">
        <f t="shared" si="9"/>
        <v>กลางวัน</v>
      </c>
      <c r="J236" s="1" t="str">
        <f t="shared" si="10"/>
        <v>ลึก</v>
      </c>
      <c r="K236">
        <f t="shared" si="11"/>
        <v>-100</v>
      </c>
    </row>
    <row r="237" spans="1:11" x14ac:dyDescent="0.25">
      <c r="A237" s="1">
        <v>236</v>
      </c>
      <c r="B237" s="1" t="s">
        <v>2730</v>
      </c>
      <c r="C237" s="1" t="s">
        <v>2482</v>
      </c>
      <c r="D237" s="1">
        <v>-7.3609999999999998</v>
      </c>
      <c r="E237" s="1">
        <v>120.27200000000001</v>
      </c>
      <c r="F237" s="1">
        <v>440.2</v>
      </c>
      <c r="G237" s="1">
        <v>4.5</v>
      </c>
      <c r="H237" t="s">
        <v>947</v>
      </c>
      <c r="I237" s="1" t="str">
        <f t="shared" si="9"/>
        <v>กลางวัน</v>
      </c>
      <c r="J237" s="1" t="str">
        <f t="shared" si="10"/>
        <v>ลึก</v>
      </c>
      <c r="K237">
        <f t="shared" si="11"/>
        <v>-440.2</v>
      </c>
    </row>
    <row r="238" spans="1:11" x14ac:dyDescent="0.25">
      <c r="A238" s="1">
        <v>237</v>
      </c>
      <c r="B238" s="1" t="s">
        <v>2731</v>
      </c>
      <c r="C238" s="1" t="s">
        <v>2483</v>
      </c>
      <c r="D238" s="1">
        <v>-7.3090000000000002</v>
      </c>
      <c r="E238" s="1">
        <v>120.369</v>
      </c>
      <c r="F238" s="1">
        <v>586.5</v>
      </c>
      <c r="G238" s="1">
        <v>5.2</v>
      </c>
      <c r="H238" t="s">
        <v>236</v>
      </c>
      <c r="I238" s="1" t="str">
        <f t="shared" si="9"/>
        <v>กลางคืน</v>
      </c>
      <c r="J238" s="1" t="str">
        <f t="shared" si="10"/>
        <v>ลึก</v>
      </c>
      <c r="K238">
        <f t="shared" si="11"/>
        <v>-586.5</v>
      </c>
    </row>
    <row r="239" spans="1:11" x14ac:dyDescent="0.25">
      <c r="A239" s="1">
        <v>238</v>
      </c>
      <c r="B239" s="1" t="s">
        <v>2732</v>
      </c>
      <c r="C239" s="1" t="s">
        <v>2484</v>
      </c>
      <c r="D239" s="1">
        <v>-7.1970000000000001</v>
      </c>
      <c r="E239" s="1">
        <v>120.342</v>
      </c>
      <c r="F239" s="1">
        <v>600</v>
      </c>
      <c r="G239" s="1">
        <v>4.9000000000000004</v>
      </c>
      <c r="H239" t="s">
        <v>264</v>
      </c>
      <c r="I239" s="1" t="str">
        <f t="shared" si="9"/>
        <v>กลางวัน</v>
      </c>
      <c r="J239" s="1" t="str">
        <f t="shared" si="10"/>
        <v>ลึก</v>
      </c>
      <c r="K239">
        <f t="shared" si="11"/>
        <v>-600</v>
      </c>
    </row>
    <row r="240" spans="1:11" x14ac:dyDescent="0.25">
      <c r="A240" s="1">
        <v>239</v>
      </c>
      <c r="B240" s="1" t="s">
        <v>2733</v>
      </c>
      <c r="C240" s="1" t="s">
        <v>2485</v>
      </c>
      <c r="D240" s="1">
        <v>-5.8680000000000003</v>
      </c>
      <c r="E240" s="1">
        <v>125.093</v>
      </c>
      <c r="F240" s="1">
        <v>33</v>
      </c>
      <c r="G240" s="1">
        <v>4.7</v>
      </c>
      <c r="H240" t="s">
        <v>37</v>
      </c>
      <c r="I240" s="1" t="str">
        <f t="shared" si="9"/>
        <v>กลางคืน</v>
      </c>
      <c r="J240" s="1" t="str">
        <f t="shared" si="10"/>
        <v>กลาง</v>
      </c>
      <c r="K240">
        <f t="shared" si="11"/>
        <v>-33</v>
      </c>
    </row>
    <row r="241" spans="1:11" x14ac:dyDescent="0.25">
      <c r="A241" s="1">
        <v>240</v>
      </c>
      <c r="B241" s="1" t="s">
        <v>2734</v>
      </c>
      <c r="C241" s="1" t="s">
        <v>2486</v>
      </c>
      <c r="D241" s="1">
        <v>-7.4560000000000004</v>
      </c>
      <c r="E241" s="1">
        <v>119.94499999999999</v>
      </c>
      <c r="F241" s="1">
        <v>450</v>
      </c>
      <c r="G241" s="1">
        <v>4.5999999999999996</v>
      </c>
      <c r="H241" t="s">
        <v>960</v>
      </c>
      <c r="I241" s="1" t="str">
        <f t="shared" si="9"/>
        <v>กลางคืน</v>
      </c>
      <c r="J241" s="1" t="str">
        <f t="shared" si="10"/>
        <v>ลึก</v>
      </c>
      <c r="K241">
        <f t="shared" si="11"/>
        <v>-450</v>
      </c>
    </row>
    <row r="242" spans="1:11" x14ac:dyDescent="0.25">
      <c r="A242" s="1">
        <v>241</v>
      </c>
      <c r="B242" s="1" t="s">
        <v>2735</v>
      </c>
      <c r="C242" s="1" t="s">
        <v>2487</v>
      </c>
      <c r="D242" s="1">
        <v>-7.2229999999999999</v>
      </c>
      <c r="E242" s="1">
        <v>120.29600000000001</v>
      </c>
      <c r="F242" s="1">
        <v>585</v>
      </c>
      <c r="G242" s="1">
        <v>5.0999999999999996</v>
      </c>
      <c r="H242" t="s">
        <v>964</v>
      </c>
      <c r="I242" s="1" t="str">
        <f t="shared" si="9"/>
        <v>กลางวัน</v>
      </c>
      <c r="J242" s="1" t="str">
        <f t="shared" si="10"/>
        <v>ลึก</v>
      </c>
      <c r="K242">
        <f t="shared" si="11"/>
        <v>-585</v>
      </c>
    </row>
    <row r="243" spans="1:11" x14ac:dyDescent="0.25">
      <c r="A243" s="1">
        <v>242</v>
      </c>
      <c r="B243" s="1" t="s">
        <v>2736</v>
      </c>
      <c r="C243" s="1" t="s">
        <v>2488</v>
      </c>
      <c r="D243" s="1">
        <v>-6.5540000000000003</v>
      </c>
      <c r="E243" s="1">
        <v>124.995</v>
      </c>
      <c r="F243" s="1">
        <v>589.70000000000005</v>
      </c>
      <c r="G243" s="1">
        <v>4.9000000000000004</v>
      </c>
      <c r="H243" t="s">
        <v>968</v>
      </c>
      <c r="I243" s="1" t="str">
        <f t="shared" si="9"/>
        <v>กลางคืน</v>
      </c>
      <c r="J243" s="1" t="str">
        <f t="shared" si="10"/>
        <v>ลึก</v>
      </c>
      <c r="K243">
        <f t="shared" si="11"/>
        <v>-589.70000000000005</v>
      </c>
    </row>
    <row r="244" spans="1:11" x14ac:dyDescent="0.25">
      <c r="A244" s="1">
        <v>243</v>
      </c>
      <c r="B244" s="1" t="s">
        <v>2737</v>
      </c>
      <c r="C244" s="1" t="s">
        <v>2489</v>
      </c>
      <c r="D244" s="1">
        <v>-5.6379999999999999</v>
      </c>
      <c r="E244" s="1">
        <v>122.545</v>
      </c>
      <c r="F244" s="1">
        <v>33</v>
      </c>
      <c r="G244" s="1">
        <v>4.5999999999999996</v>
      </c>
      <c r="H244" t="s">
        <v>972</v>
      </c>
      <c r="I244" s="1" t="str">
        <f t="shared" si="9"/>
        <v>กลางวัน</v>
      </c>
      <c r="J244" s="1" t="str">
        <f t="shared" si="10"/>
        <v>กลาง</v>
      </c>
      <c r="K244">
        <f t="shared" si="11"/>
        <v>-33</v>
      </c>
    </row>
    <row r="245" spans="1:11" x14ac:dyDescent="0.25">
      <c r="A245" s="1">
        <v>244</v>
      </c>
      <c r="B245" s="1" t="s">
        <v>2738</v>
      </c>
      <c r="C245" s="1" t="s">
        <v>2490</v>
      </c>
      <c r="D245" s="1">
        <v>-7.1360000000000001</v>
      </c>
      <c r="E245" s="1">
        <v>124.77</v>
      </c>
      <c r="F245" s="1">
        <v>565.29999999999995</v>
      </c>
      <c r="G245" s="1">
        <v>4.5</v>
      </c>
      <c r="H245" t="s">
        <v>976</v>
      </c>
      <c r="I245" s="1" t="str">
        <f t="shared" si="9"/>
        <v>กลางวัน</v>
      </c>
      <c r="J245" s="1" t="str">
        <f t="shared" si="10"/>
        <v>ลึก</v>
      </c>
      <c r="K245">
        <f t="shared" si="11"/>
        <v>-565.29999999999995</v>
      </c>
    </row>
    <row r="246" spans="1:11" x14ac:dyDescent="0.25">
      <c r="A246" s="1">
        <v>245</v>
      </c>
      <c r="B246" s="1" t="s">
        <v>2739</v>
      </c>
      <c r="C246" s="1" t="s">
        <v>2491</v>
      </c>
      <c r="D246" s="1">
        <v>-7.202</v>
      </c>
      <c r="E246" s="1">
        <v>120.401</v>
      </c>
      <c r="F246" s="1">
        <v>600</v>
      </c>
      <c r="G246" s="1">
        <v>5.0999999999999996</v>
      </c>
      <c r="H246" t="s">
        <v>980</v>
      </c>
      <c r="I246" s="1" t="str">
        <f t="shared" si="9"/>
        <v>กลางคืน</v>
      </c>
      <c r="J246" s="1" t="str">
        <f t="shared" si="10"/>
        <v>ลึก</v>
      </c>
      <c r="K246">
        <f t="shared" si="11"/>
        <v>-600</v>
      </c>
    </row>
    <row r="247" spans="1:11" x14ac:dyDescent="0.25">
      <c r="A247" s="1">
        <v>246</v>
      </c>
      <c r="B247" s="1" t="s">
        <v>2740</v>
      </c>
      <c r="C247" s="1" t="s">
        <v>2492</v>
      </c>
      <c r="D247" s="1">
        <v>-6.4059999999999997</v>
      </c>
      <c r="E247" s="1">
        <v>123.569</v>
      </c>
      <c r="F247" s="1">
        <v>33</v>
      </c>
      <c r="G247" s="1">
        <v>5.0999999999999996</v>
      </c>
      <c r="H247" t="s">
        <v>984</v>
      </c>
      <c r="I247" s="1" t="str">
        <f t="shared" si="9"/>
        <v>กลางวัน</v>
      </c>
      <c r="J247" s="1" t="str">
        <f t="shared" si="10"/>
        <v>กลาง</v>
      </c>
      <c r="K247">
        <f t="shared" si="11"/>
        <v>-33</v>
      </c>
    </row>
    <row r="248" spans="1:11" x14ac:dyDescent="0.25">
      <c r="A248" s="1">
        <v>247</v>
      </c>
      <c r="B248" s="1" t="s">
        <v>2741</v>
      </c>
      <c r="C248" s="1" t="s">
        <v>2493</v>
      </c>
      <c r="D248" s="1">
        <v>-5.2089999999999996</v>
      </c>
      <c r="E248" s="1">
        <v>123.154</v>
      </c>
      <c r="F248" s="1">
        <v>33</v>
      </c>
      <c r="G248" s="1">
        <v>4.5</v>
      </c>
      <c r="H248" t="s">
        <v>37</v>
      </c>
      <c r="I248" s="1" t="str">
        <f t="shared" si="9"/>
        <v>กลางวัน</v>
      </c>
      <c r="J248" s="1" t="str">
        <f t="shared" si="10"/>
        <v>กลาง</v>
      </c>
      <c r="K248">
        <f t="shared" si="11"/>
        <v>-33</v>
      </c>
    </row>
    <row r="249" spans="1:11" x14ac:dyDescent="0.25">
      <c r="A249" s="1">
        <v>248</v>
      </c>
      <c r="B249" s="1" t="s">
        <v>2742</v>
      </c>
      <c r="C249" s="1" t="s">
        <v>2494</v>
      </c>
      <c r="D249" s="1">
        <v>-7.101</v>
      </c>
      <c r="E249" s="1">
        <v>120.172</v>
      </c>
      <c r="F249" s="1">
        <v>593.79999999999995</v>
      </c>
      <c r="G249" s="1">
        <v>4.7</v>
      </c>
      <c r="H249" t="s">
        <v>991</v>
      </c>
      <c r="I249" s="1" t="str">
        <f t="shared" si="9"/>
        <v>กลางวัน</v>
      </c>
      <c r="J249" s="1" t="str">
        <f t="shared" si="10"/>
        <v>ลึก</v>
      </c>
      <c r="K249">
        <f t="shared" si="11"/>
        <v>-593.79999999999995</v>
      </c>
    </row>
    <row r="250" spans="1:11" x14ac:dyDescent="0.25">
      <c r="A250" s="1">
        <v>249</v>
      </c>
      <c r="B250" s="1" t="s">
        <v>2743</v>
      </c>
      <c r="C250" s="1" t="s">
        <v>2495</v>
      </c>
      <c r="D250" s="1">
        <v>-7.2169999999999996</v>
      </c>
      <c r="E250" s="1">
        <v>120.733</v>
      </c>
      <c r="F250" s="1">
        <v>508.6</v>
      </c>
      <c r="G250" s="1">
        <v>4.5</v>
      </c>
      <c r="H250" t="s">
        <v>995</v>
      </c>
      <c r="I250" s="1" t="str">
        <f t="shared" si="9"/>
        <v>กลางคืน</v>
      </c>
      <c r="J250" s="1" t="str">
        <f t="shared" si="10"/>
        <v>ลึก</v>
      </c>
      <c r="K250">
        <f t="shared" si="11"/>
        <v>-508.6</v>
      </c>
    </row>
    <row r="251" spans="1:11" x14ac:dyDescent="0.25">
      <c r="A251" s="1">
        <v>250</v>
      </c>
      <c r="B251" s="1" t="s">
        <v>2744</v>
      </c>
      <c r="C251" s="1" t="s">
        <v>2496</v>
      </c>
      <c r="D251" s="1">
        <v>-7.19</v>
      </c>
      <c r="E251" s="1">
        <v>120.429</v>
      </c>
      <c r="F251" s="1">
        <v>593.70000000000005</v>
      </c>
      <c r="G251" s="1">
        <v>4.5999999999999996</v>
      </c>
      <c r="H251" t="s">
        <v>999</v>
      </c>
      <c r="I251" s="1" t="str">
        <f t="shared" si="9"/>
        <v>กลางคืน</v>
      </c>
      <c r="J251" s="1" t="str">
        <f t="shared" si="10"/>
        <v>ลึก</v>
      </c>
      <c r="K251">
        <f t="shared" si="11"/>
        <v>-593.70000000000005</v>
      </c>
    </row>
    <row r="252" spans="1:11" x14ac:dyDescent="0.25">
      <c r="A252" s="1">
        <v>251</v>
      </c>
      <c r="B252" s="1" t="s">
        <v>2745</v>
      </c>
      <c r="C252" s="1" t="s">
        <v>2497</v>
      </c>
      <c r="D252" s="1">
        <v>-6.8029999999999999</v>
      </c>
      <c r="E252" s="1">
        <v>125.152</v>
      </c>
      <c r="F252" s="1">
        <v>542.70000000000005</v>
      </c>
      <c r="G252" s="1">
        <v>4.7</v>
      </c>
      <c r="H252" t="s">
        <v>1003</v>
      </c>
      <c r="I252" s="1" t="str">
        <f t="shared" si="9"/>
        <v>กลางวัน</v>
      </c>
      <c r="J252" s="1" t="str">
        <f t="shared" si="10"/>
        <v>ลึก</v>
      </c>
      <c r="K252">
        <f t="shared" si="11"/>
        <v>-542.70000000000005</v>
      </c>
    </row>
    <row r="253" spans="1:11" x14ac:dyDescent="0.25">
      <c r="A253" s="1">
        <v>252</v>
      </c>
      <c r="B253" s="1" t="s">
        <v>2746</v>
      </c>
      <c r="C253" s="1" t="s">
        <v>2498</v>
      </c>
      <c r="D253" s="1">
        <v>-7.4770000000000003</v>
      </c>
      <c r="E253" s="1">
        <v>123.402</v>
      </c>
      <c r="F253" s="1">
        <v>379.5</v>
      </c>
      <c r="G253" s="1">
        <v>5.4</v>
      </c>
      <c r="H253" t="s">
        <v>571</v>
      </c>
      <c r="I253" s="1" t="str">
        <f t="shared" si="9"/>
        <v>กลางคืน</v>
      </c>
      <c r="J253" s="1" t="str">
        <f t="shared" si="10"/>
        <v>ลึก</v>
      </c>
      <c r="K253">
        <f t="shared" si="11"/>
        <v>-379.5</v>
      </c>
    </row>
    <row r="254" spans="1:11" x14ac:dyDescent="0.25">
      <c r="A254" s="1">
        <v>253</v>
      </c>
      <c r="B254" s="1" t="s">
        <v>2747</v>
      </c>
      <c r="C254" s="1" t="s">
        <v>2499</v>
      </c>
      <c r="D254" s="1">
        <v>-4.5519999999999996</v>
      </c>
      <c r="E254" s="1">
        <v>123.13</v>
      </c>
      <c r="F254" s="1">
        <v>33</v>
      </c>
      <c r="G254" s="1">
        <v>4.5999999999999996</v>
      </c>
      <c r="H254" t="s">
        <v>1010</v>
      </c>
      <c r="I254" s="1" t="str">
        <f t="shared" si="9"/>
        <v>กลางคืน</v>
      </c>
      <c r="J254" s="1" t="str">
        <f t="shared" si="10"/>
        <v>กลาง</v>
      </c>
      <c r="K254">
        <f t="shared" si="11"/>
        <v>-33</v>
      </c>
    </row>
    <row r="255" spans="1:11" x14ac:dyDescent="0.25">
      <c r="A255" s="1">
        <v>254</v>
      </c>
      <c r="B255" s="1" t="s">
        <v>2748</v>
      </c>
      <c r="C255" s="1" t="s">
        <v>2500</v>
      </c>
      <c r="D255" s="1">
        <v>-6.976</v>
      </c>
      <c r="E255" s="1">
        <v>124.65300000000001</v>
      </c>
      <c r="F255" s="1">
        <v>469.3</v>
      </c>
      <c r="G255" s="1">
        <v>4.5999999999999996</v>
      </c>
      <c r="H255" t="s">
        <v>1014</v>
      </c>
      <c r="I255" s="1" t="str">
        <f t="shared" si="9"/>
        <v>กลางคืน</v>
      </c>
      <c r="J255" s="1" t="str">
        <f t="shared" si="10"/>
        <v>ลึก</v>
      </c>
      <c r="K255">
        <f t="shared" si="11"/>
        <v>-469.3</v>
      </c>
    </row>
    <row r="256" spans="1:11" x14ac:dyDescent="0.25">
      <c r="A256" s="1">
        <v>255</v>
      </c>
      <c r="B256" s="1" t="s">
        <v>2749</v>
      </c>
      <c r="C256" s="1" t="s">
        <v>2501</v>
      </c>
      <c r="D256" s="1">
        <v>-7.3209999999999997</v>
      </c>
      <c r="E256" s="1">
        <v>120.44</v>
      </c>
      <c r="F256" s="1">
        <v>515</v>
      </c>
      <c r="G256" s="1">
        <v>4.7</v>
      </c>
      <c r="H256" t="s">
        <v>1018</v>
      </c>
      <c r="I256" s="1" t="str">
        <f t="shared" si="9"/>
        <v>กลางคืน</v>
      </c>
      <c r="J256" s="1" t="str">
        <f t="shared" si="10"/>
        <v>ลึก</v>
      </c>
      <c r="K256">
        <f t="shared" si="11"/>
        <v>-515</v>
      </c>
    </row>
    <row r="257" spans="1:11" x14ac:dyDescent="0.25">
      <c r="A257" s="1">
        <v>256</v>
      </c>
      <c r="B257" s="1" t="s">
        <v>2749</v>
      </c>
      <c r="C257" s="1" t="s">
        <v>2502</v>
      </c>
      <c r="D257" s="1">
        <v>-7.1379999999999999</v>
      </c>
      <c r="E257" s="1">
        <v>124.98699999999999</v>
      </c>
      <c r="F257" s="1">
        <v>516.29999999999995</v>
      </c>
      <c r="G257" s="1">
        <v>4.8</v>
      </c>
      <c r="H257" t="s">
        <v>1022</v>
      </c>
      <c r="I257" s="1" t="str">
        <f t="shared" si="9"/>
        <v>กลางวัน</v>
      </c>
      <c r="J257" s="1" t="str">
        <f t="shared" si="10"/>
        <v>ลึก</v>
      </c>
      <c r="K257">
        <f t="shared" si="11"/>
        <v>-516.29999999999995</v>
      </c>
    </row>
    <row r="258" spans="1:11" x14ac:dyDescent="0.25">
      <c r="A258" s="1">
        <v>257</v>
      </c>
      <c r="B258" s="1" t="s">
        <v>2750</v>
      </c>
      <c r="C258" s="1" t="s">
        <v>2503</v>
      </c>
      <c r="D258" s="1">
        <v>-7.3410000000000002</v>
      </c>
      <c r="E258" s="1">
        <v>123.919</v>
      </c>
      <c r="F258" s="1">
        <v>558.5</v>
      </c>
      <c r="G258" s="1">
        <v>4.7</v>
      </c>
      <c r="H258" t="s">
        <v>1026</v>
      </c>
      <c r="I258" s="1" t="str">
        <f t="shared" si="9"/>
        <v>กลางคืน</v>
      </c>
      <c r="J258" s="1" t="str">
        <f t="shared" si="10"/>
        <v>ลึก</v>
      </c>
      <c r="K258">
        <f t="shared" si="11"/>
        <v>-558.5</v>
      </c>
    </row>
    <row r="259" spans="1:11" x14ac:dyDescent="0.25">
      <c r="A259" s="1">
        <v>258</v>
      </c>
      <c r="B259" s="1" t="s">
        <v>2751</v>
      </c>
      <c r="C259" s="1" t="s">
        <v>2504</v>
      </c>
      <c r="D259" s="1">
        <v>-7.4850000000000003</v>
      </c>
      <c r="E259" s="1">
        <v>122.678</v>
      </c>
      <c r="F259" s="1">
        <v>574.9</v>
      </c>
      <c r="G259" s="1">
        <v>5.5</v>
      </c>
      <c r="H259" t="s">
        <v>1030</v>
      </c>
      <c r="I259" s="1" t="str">
        <f t="shared" ref="I259:I268" si="12">IF(AND(HOUR(C259)&gt;=6, HOUR(C259)&lt;=18),"กลางวัน","กลางคืน")</f>
        <v>กลางวัน</v>
      </c>
      <c r="J259" s="1" t="str">
        <f t="shared" ref="J259:J268" si="13">IF(F259&lt;=10,"ตื้นมาก",IF(F259&lt;=30,"ตื้น",IF(F259&lt;70,"กลาง","ลึก")))</f>
        <v>ลึก</v>
      </c>
      <c r="K259">
        <f t="shared" ref="K259:K268" si="14">F259*-1</f>
        <v>-574.9</v>
      </c>
    </row>
    <row r="260" spans="1:11" x14ac:dyDescent="0.25">
      <c r="A260" s="1">
        <v>259</v>
      </c>
      <c r="B260" s="1" t="s">
        <v>2752</v>
      </c>
      <c r="C260" s="1" t="s">
        <v>2505</v>
      </c>
      <c r="D260" s="1">
        <v>-7.33</v>
      </c>
      <c r="E260" s="1">
        <v>123.68899999999999</v>
      </c>
      <c r="F260" s="1">
        <v>600</v>
      </c>
      <c r="G260" s="1">
        <v>4.7</v>
      </c>
      <c r="H260" t="s">
        <v>304</v>
      </c>
      <c r="I260" s="1" t="str">
        <f t="shared" si="12"/>
        <v>กลางวัน</v>
      </c>
      <c r="J260" s="1" t="str">
        <f t="shared" si="13"/>
        <v>ลึก</v>
      </c>
      <c r="K260">
        <f t="shared" si="14"/>
        <v>-600</v>
      </c>
    </row>
    <row r="261" spans="1:11" x14ac:dyDescent="0.25">
      <c r="A261" s="1">
        <v>260</v>
      </c>
      <c r="B261" s="1" t="s">
        <v>2753</v>
      </c>
      <c r="C261" s="1" t="s">
        <v>2506</v>
      </c>
      <c r="D261" s="1">
        <v>-7.0179999999999998</v>
      </c>
      <c r="E261" s="1">
        <v>123.357</v>
      </c>
      <c r="F261" s="1">
        <v>648.5</v>
      </c>
      <c r="G261" s="1">
        <v>6.5</v>
      </c>
      <c r="H261" t="s">
        <v>1037</v>
      </c>
      <c r="I261" s="1" t="str">
        <f t="shared" si="12"/>
        <v>กลางวัน</v>
      </c>
      <c r="J261" s="1" t="str">
        <f t="shared" si="13"/>
        <v>ลึก</v>
      </c>
      <c r="K261">
        <f t="shared" si="14"/>
        <v>-648.5</v>
      </c>
    </row>
    <row r="262" spans="1:11" x14ac:dyDescent="0.25">
      <c r="A262" s="1">
        <v>261</v>
      </c>
      <c r="B262" s="1" t="s">
        <v>2753</v>
      </c>
      <c r="C262" s="1" t="s">
        <v>2507</v>
      </c>
      <c r="D262" s="1">
        <v>-7.1420000000000003</v>
      </c>
      <c r="E262" s="1">
        <v>123.434</v>
      </c>
      <c r="F262" s="1">
        <v>675.5</v>
      </c>
      <c r="G262" s="1">
        <v>4.5999999999999996</v>
      </c>
      <c r="H262" t="s">
        <v>37</v>
      </c>
      <c r="I262" s="1" t="str">
        <f t="shared" si="12"/>
        <v>กลางวัน</v>
      </c>
      <c r="J262" s="1" t="str">
        <f t="shared" si="13"/>
        <v>ลึก</v>
      </c>
      <c r="K262">
        <f t="shared" si="14"/>
        <v>-675.5</v>
      </c>
    </row>
    <row r="263" spans="1:11" x14ac:dyDescent="0.25">
      <c r="A263" s="1">
        <v>262</v>
      </c>
      <c r="B263" s="1" t="s">
        <v>2754</v>
      </c>
      <c r="C263" s="1" t="s">
        <v>2508</v>
      </c>
      <c r="D263" s="1">
        <v>-7.1130000000000004</v>
      </c>
      <c r="E263" s="1">
        <v>124.639</v>
      </c>
      <c r="F263" s="1">
        <v>580.1</v>
      </c>
      <c r="G263" s="1">
        <v>4.5</v>
      </c>
      <c r="H263" t="s">
        <v>1044</v>
      </c>
      <c r="I263" s="1" t="str">
        <f t="shared" si="12"/>
        <v>กลางวัน</v>
      </c>
      <c r="J263" s="1" t="str">
        <f t="shared" si="13"/>
        <v>ลึก</v>
      </c>
      <c r="K263">
        <f t="shared" si="14"/>
        <v>-580.1</v>
      </c>
    </row>
    <row r="264" spans="1:11" x14ac:dyDescent="0.25">
      <c r="A264" s="1">
        <v>263</v>
      </c>
      <c r="B264" s="1" t="s">
        <v>2755</v>
      </c>
      <c r="C264" s="1" t="s">
        <v>2509</v>
      </c>
      <c r="D264" s="1">
        <v>-5.7869999999999999</v>
      </c>
      <c r="E264" s="1">
        <v>123.309</v>
      </c>
      <c r="F264" s="1">
        <v>33</v>
      </c>
      <c r="G264" s="1">
        <v>5.2</v>
      </c>
      <c r="H264" t="s">
        <v>1048</v>
      </c>
      <c r="I264" s="1" t="str">
        <f t="shared" si="12"/>
        <v>กลางวัน</v>
      </c>
      <c r="J264" s="1" t="str">
        <f t="shared" si="13"/>
        <v>กลาง</v>
      </c>
      <c r="K264">
        <f t="shared" si="14"/>
        <v>-33</v>
      </c>
    </row>
    <row r="265" spans="1:11" x14ac:dyDescent="0.25">
      <c r="A265" s="1">
        <v>264</v>
      </c>
      <c r="B265" s="1" t="s">
        <v>2756</v>
      </c>
      <c r="C265" s="1" t="s">
        <v>2510</v>
      </c>
      <c r="D265" s="1">
        <v>-6.0309999999999997</v>
      </c>
      <c r="E265" s="1">
        <v>122.836</v>
      </c>
      <c r="F265" s="1">
        <v>10</v>
      </c>
      <c r="G265" s="1">
        <v>4.8</v>
      </c>
      <c r="H265" t="s">
        <v>1052</v>
      </c>
      <c r="I265" s="1" t="str">
        <f t="shared" si="12"/>
        <v>กลางวัน</v>
      </c>
      <c r="J265" s="1" t="str">
        <f t="shared" si="13"/>
        <v>ตื้นมาก</v>
      </c>
      <c r="K265">
        <f t="shared" si="14"/>
        <v>-10</v>
      </c>
    </row>
    <row r="266" spans="1:11" x14ac:dyDescent="0.25">
      <c r="A266" s="1">
        <v>265</v>
      </c>
      <c r="B266" s="1" t="s">
        <v>2757</v>
      </c>
      <c r="C266" s="1" t="s">
        <v>2511</v>
      </c>
      <c r="D266" s="1">
        <v>-7.3220000000000001</v>
      </c>
      <c r="E266" s="1">
        <v>120.65900000000001</v>
      </c>
      <c r="F266" s="1">
        <v>602.1</v>
      </c>
      <c r="G266" s="1">
        <v>4.5999999999999996</v>
      </c>
      <c r="H266" t="s">
        <v>1056</v>
      </c>
      <c r="I266" s="1" t="str">
        <f t="shared" si="12"/>
        <v>กลางวัน</v>
      </c>
      <c r="J266" s="1" t="str">
        <f t="shared" si="13"/>
        <v>ลึก</v>
      </c>
      <c r="K266">
        <f t="shared" si="14"/>
        <v>-602.1</v>
      </c>
    </row>
    <row r="267" spans="1:11" x14ac:dyDescent="0.25">
      <c r="A267" s="1">
        <v>266</v>
      </c>
      <c r="B267" s="1" t="s">
        <v>2758</v>
      </c>
      <c r="C267" s="1" t="s">
        <v>2512</v>
      </c>
      <c r="D267" s="1">
        <v>-7.1130000000000004</v>
      </c>
      <c r="E267" s="1">
        <v>124.82599999999999</v>
      </c>
      <c r="F267" s="1">
        <v>558.79999999999995</v>
      </c>
      <c r="G267" s="1">
        <v>4.8</v>
      </c>
      <c r="H267" t="s">
        <v>976</v>
      </c>
      <c r="I267" s="1" t="str">
        <f t="shared" si="12"/>
        <v>กลางวัน</v>
      </c>
      <c r="J267" s="1" t="str">
        <f t="shared" si="13"/>
        <v>ลึก</v>
      </c>
      <c r="K267">
        <f t="shared" si="14"/>
        <v>-558.79999999999995</v>
      </c>
    </row>
    <row r="268" spans="1:11" x14ac:dyDescent="0.25">
      <c r="A268" s="1">
        <v>267</v>
      </c>
      <c r="B268" s="1" t="s">
        <v>2759</v>
      </c>
      <c r="C268" s="1" t="s">
        <v>2513</v>
      </c>
      <c r="D268" s="1">
        <v>-7.27</v>
      </c>
      <c r="E268" s="1">
        <v>121.17100000000001</v>
      </c>
      <c r="F268" s="1">
        <v>541.5</v>
      </c>
      <c r="G268" s="1">
        <v>4.5</v>
      </c>
      <c r="H268" t="s">
        <v>1063</v>
      </c>
      <c r="I268" s="1" t="str">
        <f t="shared" si="12"/>
        <v>กลางคืน</v>
      </c>
      <c r="J268" s="1" t="str">
        <f t="shared" si="13"/>
        <v>ลึก</v>
      </c>
      <c r="K268">
        <f t="shared" si="14"/>
        <v>-541.5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query</vt:lpstr>
      <vt:lpstr>data</vt:lpstr>
      <vt:lpstr>Sheet3</vt:lpstr>
      <vt:lpstr>Pivot</vt:lpstr>
      <vt:lpstr>mw</vt:lpstr>
      <vt:lpstr>Sheet1</vt:lpstr>
      <vt:lpstr>1970-2000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NCS</dc:creator>
  <cp:lastModifiedBy>ncservice_224@outlook.com</cp:lastModifiedBy>
  <dcterms:created xsi:type="dcterms:W3CDTF">2026-08-19T02:29:36Z</dcterms:created>
  <dcterms:modified xsi:type="dcterms:W3CDTF">2026-09-26T10:14:43Z</dcterms:modified>
</cp:coreProperties>
</file>